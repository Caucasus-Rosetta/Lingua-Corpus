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ВВС 1" sheetId="2" state="visible" r:id="rId2"/>
    <sheet name="ВВС 2" sheetId="3" state="visible" r:id="rId3"/>
    <sheet name="ВВС 4" sheetId="4" state="visible" r:id="rId4"/>
    <sheet name="ВВС 5" sheetId="5" state="visible" r:id="rId5"/>
    <sheet name="ВВС 7" sheetId="6" state="visible" r:id="rId6"/>
    <sheet name="ВВС 9" sheetId="7" state="visible" r:id="rId7"/>
    <sheet name="ВВС 10" sheetId="8" state="visible" r:id="rId8"/>
    <sheet name="Итог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sz val="10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BBC: выравнивание абхазского↔русского (модель Opus) — экспертная оценка</t>
        </is>
      </c>
    </row>
    <row r="2">
      <c r="A2" s="2" t="inlineStr"/>
    </row>
    <row r="3">
      <c r="A3" s="3" t="inlineStr">
        <is>
          <t>Вы оцениваете КАЧЕСТВО ВЫРАВНИВАНИЯ, а не качество перевода.</t>
        </is>
      </c>
    </row>
    <row r="4">
      <c r="A4" s="2" t="inlineStr">
        <is>
          <t>Абхазский и русский текст взяты из одного источника. Различается только то, КАК текст разбит на части и сопоставлен. Оцените, соответствуют ли друг другу абхазская и русская стороны в каждой паре.</t>
        </is>
      </c>
    </row>
    <row r="5">
      <c r="A5" s="2" t="inlineStr"/>
    </row>
    <row r="6">
      <c r="A6" s="2" t="inlineStr">
        <is>
          <t>Каждый лист — отдельная серия BBC; на нём 30 ИДУЩИХ ПОДРЯД пар из этой серии. Пары намеренно соседние: так видно ошибки СЕГМЕНТАЦИИ — например, одно предложение, разрезанное на две пары, или фрагмент, попавший из соседней пары.</t>
        </is>
      </c>
    </row>
    <row r="7">
      <c r="A7" s="2" t="inlineStr"/>
    </row>
    <row r="8">
      <c r="A8" s="3" t="inlineStr">
        <is>
          <t>Столбец «Соответствие» (выпадающий список):</t>
        </is>
      </c>
    </row>
    <row r="9">
      <c r="A9" s="2" t="inlineStr">
        <is>
          <t xml:space="preserve">  Верно    — стороны сопоставлены правильно и разумно разбиты. Естественное сжатие перевода (субтитры короче исходного текста) — это всё равно «Верно».</t>
        </is>
      </c>
    </row>
    <row r="10">
      <c r="A10" s="2" t="inlineStr">
        <is>
          <t xml:space="preserve">  Частично — партнёр верный, но границы неудачны: фраза попала не в ту пару, лишняя или потеряна ИЗ-ЗА разреза (а не из-за самого перевода).</t>
        </is>
      </c>
    </row>
    <row r="11">
      <c r="A11" s="2" t="inlineStr">
        <is>
          <t xml:space="preserve">  Неверно  — стороны не соответствуют друг другу (не тот партнёр).</t>
        </is>
      </c>
    </row>
    <row r="12">
      <c r="A12" s="2" t="inlineStr"/>
    </row>
    <row r="13">
      <c r="A13" s="3" t="inlineStr">
        <is>
          <t>Важно — про «потерянный смысл». Если фраза есть на одной стороне, но отсутствует на другой, определите причину:</t>
        </is>
      </c>
    </row>
    <row r="14">
      <c r="A14" s="2" t="inlineStr">
        <is>
          <t xml:space="preserve">  • её «отрезало» выравнивание — фраза есть рядом (в соседней паре) или должна была войти сюда → «Частично» + «Плохая сегментация» (это ошибка модели).</t>
        </is>
      </c>
    </row>
    <row r="15">
      <c r="A15" s="2" t="inlineStr">
        <is>
          <t xml:space="preserve">  • её просто НЕТ в самом переводе — русские субтитры короче абхазского текста → это НЕ ошибка выравнивания: ставьте «Верно» и при необходимости «Ошибка перевода/источника».</t>
        </is>
      </c>
    </row>
    <row r="16">
      <c r="A16" s="2" t="inlineStr"/>
    </row>
    <row r="17">
      <c r="A17" s="2" t="inlineStr">
        <is>
          <t>Жёлтые строки — намеренные ПРОПУСКИ (одна сторона пустая, например титры на экране без перевода). Поставьте «Верно», если строку правильно оставить без пары, иначе «Неверно».</t>
        </is>
      </c>
    </row>
    <row r="18">
      <c r="A18" s="2" t="inlineStr"/>
    </row>
    <row r="19">
      <c r="A19" s="3" t="inlineStr">
        <is>
          <t>Столбец «Тип ошибки» (необязательно, если оценка не «Верно»):</t>
        </is>
      </c>
    </row>
    <row r="20">
      <c r="A20" s="2" t="inlineStr">
        <is>
          <t xml:space="preserve">  • Неправильное сопоставление — стороны о РАЗНОМ (не тот партнёр). Самая серьёзная ошибка.</t>
        </is>
      </c>
    </row>
    <row r="21">
      <c r="A21" s="2" t="inlineStr">
        <is>
          <t xml:space="preserve">  • Плохая сегментация — правильный партнёр, но текст разрезан неудачно (не там граница, два предложения слиты, лишняя фраза из соседней пары).</t>
        </is>
      </c>
    </row>
    <row r="22">
      <c r="A22" s="2" t="inlineStr">
        <is>
          <t xml:space="preserve">  • Ошибка перевода/источника — проблема в самом исходном тексте, а НЕ в выравнивании.</t>
        </is>
      </c>
    </row>
    <row r="23">
      <c r="A23" s="2" t="inlineStr">
        <is>
          <t xml:space="preserve">  • Другое — поясните в «Комментарии».</t>
        </is>
      </c>
    </row>
    <row r="24">
      <c r="A24" s="2" t="inlineStr"/>
    </row>
    <row r="25">
      <c r="A25" s="2" t="inlineStr">
        <is>
          <t>Лист «Итоги» автоматически считает точность по каждой серии и в целом. Цель корпуса — 95%.</t>
        </is>
      </c>
    </row>
    <row r="26">
      <c r="A26" s="2" t="inlineStr"/>
    </row>
    <row r="27">
      <c r="A27" s="4" t="inlineStr">
        <is>
          <t>Примечание: № в первом столбце — это номер пары в ПОЛНОМ выравнивании серии (не подряд 1..N), чтобы потом найти проблемную пару в исходных данных.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243</v>
      </c>
      <c r="B2" s="7" t="inlineStr">
        <is>
          <t>Аха алымқәа рзы идуцәоуп.</t>
        </is>
      </c>
      <c r="C2" s="7" t="inlineStr">
        <is>
          <t>Но он слишком велик для львов.</t>
        </is>
      </c>
      <c r="D2" t="inlineStr"/>
      <c r="E2" t="inlineStr"/>
      <c r="F2" t="inlineStr"/>
    </row>
    <row r="3">
      <c r="A3" s="6" t="n">
        <v>244</v>
      </c>
      <c r="B3" s="7" t="inlineStr">
        <is>
          <t>Ан еиҳа иеиҵоуп. Иҟало аабап!</t>
        </is>
      </c>
      <c r="C3" s="7" t="inlineStr">
        <is>
          <t>А вот этот поменьше. Не попробовать ли?</t>
        </is>
      </c>
      <c r="D3" t="inlineStr"/>
      <c r="E3" t="inlineStr"/>
      <c r="F3" t="inlineStr"/>
    </row>
    <row r="4">
      <c r="A4" s="6" t="n">
        <v>245</v>
      </c>
      <c r="B4" s="7" t="inlineStr">
        <is>
          <t>Алым амацара ианыҟоу акгьы алшаӡом, аха рызегьы анеицуУи даҽа усуп.</t>
        </is>
      </c>
      <c r="C4" s="7" t="inlineStr">
        <is>
          <t>В одиночку у льва нет никаких шансов, но целый прайд - это другое дело.</t>
        </is>
      </c>
      <c r="D4" t="inlineStr"/>
      <c r="E4" t="inlineStr"/>
      <c r="F4" t="inlineStr"/>
    </row>
    <row r="5">
      <c r="A5" s="6" t="n">
        <v>246</v>
      </c>
      <c r="B5" s="7" t="inlineStr">
        <is>
          <t>Ара 30 ыҟоуп, дара зегьы асланқәа иахьа ирымбеит.</t>
        </is>
      </c>
      <c r="C5" s="7" t="inlineStr">
        <is>
          <t>Здесь 30 львов, и все они - опытные охотники на слонов.</t>
        </is>
      </c>
      <c r="D5" t="inlineStr"/>
      <c r="E5" t="inlineStr"/>
      <c r="F5" t="inlineStr"/>
    </row>
    <row r="6">
      <c r="A6" s="6" t="n">
        <v>247</v>
      </c>
      <c r="B6" s="7" t="inlineStr">
        <is>
          <t>Иаӡбаз жәбоит. Аслан иақәтәеит ихаланы.</t>
        </is>
      </c>
      <c r="C6" s="7" t="inlineStr">
        <is>
          <t>Какая охотничья тактика. Львица верхом на слоне.</t>
        </is>
      </c>
      <c r="D6" t="inlineStr"/>
      <c r="E6" t="inlineStr"/>
      <c r="F6" t="inlineStr"/>
    </row>
    <row r="7">
      <c r="A7" s="6" t="n">
        <v>248</v>
      </c>
      <c r="B7" s="7" t="inlineStr">
        <is>
          <t>Алымқәа аиааит.</t>
        </is>
      </c>
      <c r="C7" s="7" t="inlineStr">
        <is>
          <t>Львы победили.</t>
        </is>
      </c>
      <c r="D7" t="inlineStr"/>
      <c r="E7" t="inlineStr"/>
      <c r="F7" t="inlineStr"/>
    </row>
    <row r="8">
      <c r="A8" s="6" t="n">
        <v>249</v>
      </c>
      <c r="B8" s="7" t="inlineStr">
        <is>
          <t>Ани аслан ажьы дара зегьы мчыбжьык инеиҵамкәа ирызхоит.</t>
        </is>
      </c>
      <c r="C8" s="7" t="inlineStr">
        <is>
          <t>Мяса этого слона хватит прайду как минимум на неделю.</t>
        </is>
      </c>
      <c r="D8" t="inlineStr"/>
      <c r="E8" t="inlineStr"/>
      <c r="F8" t="inlineStr"/>
    </row>
    <row r="9">
      <c r="A9" s="6" t="n">
        <v>250</v>
      </c>
      <c r="B9" s="7" t="inlineStr">
        <is>
          <t>Асланқәа аӡыжәырҭақәа шшәарҭоу рдыруеит, аха уаҳа ԥсыхәа рымам.</t>
        </is>
      </c>
      <c r="C9" s="7" t="inlineStr">
        <is>
          <t>слоны знают, что эти водопои опасны, но у них нет выбора.</t>
        </is>
      </c>
      <c r="D9" t="inlineStr"/>
      <c r="E9" t="inlineStr"/>
      <c r="F9" t="inlineStr"/>
    </row>
    <row r="10">
      <c r="A10" s="6" t="n">
        <v>251</v>
      </c>
      <c r="B10" s="7" t="inlineStr">
        <is>
          <t>Ара имҩаԥысуа а хҭысқәа иуарҳәоит арҭ акаршәрақәа рҿы аԥсҭазааразы шаҟа аҵанакуа.</t>
        </is>
      </c>
      <c r="C10" s="7" t="inlineStr">
        <is>
          <t>Драмы, которые здесь разворачиваются - это жестокое напоминание о том, насколько важна вода для жизни на этих равнинах.</t>
        </is>
      </c>
      <c r="D10" t="inlineStr"/>
      <c r="E10" t="inlineStr"/>
      <c r="F10" t="inlineStr"/>
    </row>
    <row r="11">
      <c r="A11" s="6" t="n">
        <v>252</v>
      </c>
      <c r="B11" s="7" t="inlineStr">
        <is>
          <t>Аарҩарақәа анынҵәалак Шьаҭанкыла аԥсахрқәа мҩаԥысуеит.</t>
        </is>
      </c>
      <c r="C11" s="7" t="inlineStr">
        <is>
          <t>Когда засушливый сезон наконец заканчивается,</t>
        </is>
      </c>
      <c r="D11" t="inlineStr"/>
      <c r="E11" t="inlineStr"/>
      <c r="F11" t="inlineStr"/>
    </row>
    <row r="12">
      <c r="A12" s="6" t="n">
        <v>253</v>
      </c>
      <c r="B12" s="7" t="inlineStr">
        <is>
          <t>Аконтинент аҿы ақәоурақәа ирылагоит.</t>
        </is>
      </c>
      <c r="C12" s="7" t="inlineStr">
        <is>
          <t>в выжженных солнцем африканских саваннах происходят радикальные перемены. По континенту проносятся дожди,</t>
        </is>
      </c>
      <c r="D12" t="inlineStr"/>
      <c r="E12" t="inlineStr"/>
      <c r="F12" t="inlineStr"/>
    </row>
    <row r="13">
      <c r="A13" s="6" t="n">
        <v>254</v>
      </c>
      <c r="B13" s="7" t="inlineStr">
        <is>
          <t>Зыда ԥсыхәа ыҟам аҳаскьын еиҭа гылоит.</t>
        </is>
      </c>
      <c r="C13" s="7" t="inlineStr">
        <is>
          <t>необходимая трава оживает снова, и стада возвращаются.</t>
        </is>
      </c>
      <c r="D13" t="inlineStr"/>
      <c r="E13" t="inlineStr"/>
      <c r="F13" t="inlineStr"/>
    </row>
    <row r="14">
      <c r="A14" s="6" t="n">
        <v>255</v>
      </c>
      <c r="B14" s="7" t="inlineStr">
        <is>
          <t>Аԥстәқәагьы хынҳәуеит. Амызқәа зегьы рыҩныҵҟа иԥсаҟьаны иҟоуп. ӡыжәырҭак ахьыҟоу еизоит.</t>
        </is>
      </c>
      <c r="C14" s="7" t="inlineStr">
        <is>
          <t>На протяжении месяцев они были разбросаны по огромной площади, собираясь вокруг крошечных водопоев,</t>
        </is>
      </c>
      <c r="D14" t="inlineStr"/>
      <c r="E14" t="inlineStr"/>
      <c r="F14" t="inlineStr"/>
    </row>
    <row r="15">
      <c r="A15" s="6" t="n">
        <v>256</v>
      </c>
      <c r="B15" s="7" t="inlineStr">
        <is>
          <t>Абар еиҭа аамҭа бзиақәа ааит.</t>
        </is>
      </c>
      <c r="C15" s="7" t="inlineStr">
        <is>
          <t>и вот опять наступили хорошие времена.</t>
        </is>
      </c>
      <c r="D15" t="inlineStr"/>
      <c r="E15" t="inlineStr"/>
      <c r="F15" t="inlineStr"/>
    </row>
    <row r="16">
      <c r="A16" s="6" t="n">
        <v>257</v>
      </c>
      <c r="B16" s="7" t="inlineStr">
        <is>
          <t>Африкатәи асаваннқәа еиԥшӡам. Ара ақәаӡы адәкаршәрақәа ирықәсны ицоит.</t>
        </is>
      </c>
      <c r="C16" s="7" t="inlineStr">
        <is>
          <t>Некоторые африканские саванны не похожи на другие. Здесь дождевая вода растекается по плоским равнинам.</t>
        </is>
      </c>
      <c r="D16" t="inlineStr"/>
      <c r="E16" t="inlineStr"/>
      <c r="F16" t="inlineStr"/>
    </row>
    <row r="17">
      <c r="A17" s="6" t="n">
        <v>258</v>
      </c>
      <c r="B17" s="7" t="inlineStr">
        <is>
          <t>Аҳаскьын зегьы аӡы ахыҵәо иҟоуп, аха шыҟац иҟоуп.</t>
        </is>
      </c>
      <c r="C17" s="7" t="inlineStr">
        <is>
          <t>Трава покрыта водой полностью, но продолжает расти.</t>
        </is>
      </c>
      <c r="D17" t="inlineStr"/>
      <c r="E17" t="inlineStr"/>
      <c r="F17" t="inlineStr"/>
    </row>
    <row r="18">
      <c r="A18" s="6" t="n">
        <v>259</v>
      </c>
      <c r="B18" s="7" t="inlineStr">
        <is>
          <t>Иџьашьахәуп аҳаскьын ҵиаақәа. еиқәхашьас иҟарҵо.</t>
        </is>
      </c>
      <c r="C18" s="7" t="inlineStr">
        <is>
          <t>Удивительные травянистые растения могут выдержать всё:</t>
        </is>
      </c>
      <c r="D18" t="inlineStr"/>
      <c r="E18" t="inlineStr"/>
      <c r="F18" t="inlineStr"/>
    </row>
    <row r="19">
      <c r="A19" s="6" t="n">
        <v>260</v>
      </c>
      <c r="B19" s="7" t="inlineStr">
        <is>
          <t>Аӡхыҵрақәа, амца, амра ацара, ахьҭа бааԥсқәа – зегьы ирааиуеит.</t>
        </is>
      </c>
      <c r="C19" s="7" t="inlineStr">
        <is>
          <t>наводнения, пожары, солнцепёк и стужу.</t>
        </is>
      </c>
      <c r="D19" t="inlineStr"/>
      <c r="E19" t="inlineStr"/>
      <c r="F19" t="inlineStr"/>
    </row>
    <row r="20">
      <c r="A20" s="6" t="n">
        <v>261</v>
      </c>
      <c r="B20" s="7" t="inlineStr">
        <is>
          <t>Фымызтәи аарҩарақәа рышьҭахь Асабатә каршәрақәа рҭыԥан Еиҭа аҳаскьын гылоит.</t>
        </is>
      </c>
      <c r="C20" s="7" t="inlineStr">
        <is>
          <t>После шести месяцев засухи на месте пыльных равнин снова вырастаеттравяной покров.</t>
        </is>
      </c>
      <c r="D20" t="inlineStr"/>
      <c r="E20" t="inlineStr"/>
      <c r="F20" t="inlineStr"/>
    </row>
    <row r="21">
      <c r="A21" s="6" t="n">
        <v>262</v>
      </c>
      <c r="B21" s="7" t="inlineStr">
        <is>
          <t>Аҳаскьын ҿа иашьҭаланы акыр харантә иаауеит аԥстәқәа.</t>
        </is>
      </c>
      <c r="C21" s="7" t="inlineStr">
        <is>
          <t>Ради свежей зелени животные проделывают огромные расстояния.</t>
        </is>
      </c>
      <c r="D21" t="inlineStr"/>
      <c r="E21" t="inlineStr"/>
      <c r="F21" t="inlineStr"/>
    </row>
    <row r="22">
      <c r="A22" s="6" t="n">
        <v>263</v>
      </c>
      <c r="B22" s="7" t="inlineStr">
        <is>
          <t>Аԥстәы хкқәак даара акыр иныҟәаны иаауеит Аҭхаџьра аамҭа иахьӡаразы.</t>
        </is>
      </c>
      <c r="C22" s="7" t="inlineStr">
        <is>
          <t>Многие виды животных совершают миграции эпических масштабов, чтобы застать время изобилия на месте.</t>
        </is>
      </c>
      <c r="D22" t="inlineStr"/>
      <c r="E22" t="inlineStr"/>
      <c r="F22" t="inlineStr"/>
    </row>
    <row r="23">
      <c r="A23" s="6" t="n">
        <v>264</v>
      </c>
      <c r="B23" s="7" t="inlineStr">
        <is>
          <t>Еиҳа иӷәӷәоу ԥстәқәак алшықәсанык ара иҟоуп.</t>
        </is>
      </c>
      <c r="C23" s="7" t="inlineStr">
        <is>
          <t>Некоторые находчивые животные обитают здесь круглый год.</t>
        </is>
      </c>
      <c r="D23" t="inlineStr"/>
      <c r="E23" t="inlineStr"/>
      <c r="F23" t="inlineStr"/>
    </row>
    <row r="24">
      <c r="A24" s="6" t="n">
        <v>265</v>
      </c>
      <c r="B24" s="7" t="inlineStr">
        <is>
          <t>Ара иҟоуп есқьынгьы амаамынқәа, аха аӡы зхыҵәаз адәкаршәрақәа рҿы рыфатә рыԥшааразы рхымҩаԥгашьагьы аҽеиҭанакроуп.</t>
        </is>
      </c>
      <c r="C24" s="7" t="inlineStr">
        <is>
          <t>Бабуины живут здесь постоянно, но для того, чтобы добывать пропитание на затопленных равнинах, им пришлось изменить своё поведение.</t>
        </is>
      </c>
      <c r="D24" t="inlineStr"/>
      <c r="E24" t="inlineStr"/>
      <c r="F24" t="inlineStr"/>
    </row>
    <row r="25">
      <c r="A25" s="6" t="n">
        <v>266</v>
      </c>
      <c r="B25" s="7" t="inlineStr">
        <is>
          <t>Ара афатә рацәоуп, аха уи ахьыҟоу анеира ус имариам.</t>
        </is>
      </c>
      <c r="C25" s="7" t="inlineStr">
        <is>
          <t>Пищи здесь много, но добраться до неё бывает не так-то просто.</t>
        </is>
      </c>
      <c r="D25" t="inlineStr"/>
      <c r="E25" t="inlineStr"/>
      <c r="F25" t="inlineStr"/>
    </row>
    <row r="26">
      <c r="A26" s="6" t="n">
        <v>267</v>
      </c>
      <c r="B26" s="7" t="inlineStr">
        <is>
          <t>Амҩан шәҭык ма даҽа иаҵәарак наҿыҵанаҟәшәоит.</t>
        </is>
      </c>
      <c r="C26" s="7" t="inlineStr">
        <is>
          <t>На ходу успевает подкрепиться цветочком или зелёным стеблем.</t>
        </is>
      </c>
      <c r="D26" t="inlineStr"/>
      <c r="E26" t="inlineStr"/>
      <c r="F26" t="inlineStr"/>
    </row>
    <row r="27">
      <c r="A27" s="6" t="n">
        <v>268</v>
      </c>
      <c r="B27" s="7" t="inlineStr">
        <is>
          <t>Ари амаамын хәыҷы аусқәа уадаҩуп, аӡы инылшьауҵәҟьа ирыманы ицоит.</t>
        </is>
      </c>
      <c r="C27" s="7" t="inlineStr">
        <is>
          <t>А вот малышу нелегко, его волокут прямо по воде.</t>
        </is>
      </c>
      <c r="D27" t="inlineStr"/>
      <c r="E27" t="inlineStr"/>
      <c r="F27" t="inlineStr"/>
    </row>
    <row r="28">
      <c r="A28" s="6" t="n">
        <v>269</v>
      </c>
      <c r="B28" s="7" t="inlineStr">
        <is>
          <t>Ҳәарада, ари иаргьы иагәаԥхом, аха аха иахьбарроугьы азымдыруа иҟам.</t>
        </is>
      </c>
      <c r="C28" s="7" t="inlineStr">
        <is>
          <t>Кончено, эта вода доставляет детёнышу неудобства, но он знает, где найти сухое место - забраться к маме на спину.</t>
        </is>
      </c>
      <c r="D28" t="inlineStr"/>
      <c r="E28" t="inlineStr"/>
      <c r="F28" t="inlineStr"/>
    </row>
    <row r="29">
      <c r="A29" s="8" t="n">
        <v>270</v>
      </c>
      <c r="B29" s="9" t="inlineStr">
        <is>
          <t>Ан аҟәаҟәа ихаланы иқәтәоит. Ашьапқәа бааӡеит, аха уи ацынәхрас</t>
        </is>
      </c>
      <c r="C29" s="9" t="inlineStr">
        <is>
          <t>— (нет русского)</t>
        </is>
      </c>
      <c r="D29" s="10" t="inlineStr"/>
      <c r="E29" s="10" t="inlineStr"/>
      <c r="F29" s="10" t="inlineStr"/>
    </row>
    <row r="30">
      <c r="A30" s="6" t="n">
        <v>271</v>
      </c>
      <c r="B30" s="7" t="inlineStr">
        <is>
          <t>Абар иԥсылоу акамаршша.</t>
        </is>
      </c>
      <c r="C30" s="7" t="inlineStr">
        <is>
          <t>сочная улитка - это достойная компенсация за промокшие лапы.</t>
        </is>
      </c>
      <c r="D30" t="inlineStr"/>
      <c r="E30" t="inlineStr"/>
      <c r="F30" t="inlineStr"/>
    </row>
    <row r="31">
      <c r="A31" s="6" t="n">
        <v>272</v>
      </c>
      <c r="B31" s="7" t="inlineStr">
        <is>
          <t>Аарҩараеи амлакреи нархыганы, аԥстәқәа аамҭала уи рхашҭуеит.</t>
        </is>
      </c>
      <c r="C31" s="7" t="inlineStr">
        <is>
          <t>Пережив засуху и голод животные могут на время забыть о них.</t>
        </is>
      </c>
      <c r="D31" t="inlineStr"/>
      <c r="E31" t="inlineStr"/>
      <c r="F31" t="inlineStr"/>
    </row>
    <row r="32">
      <c r="A32" s="6" t="n">
        <v>273</v>
      </c>
      <c r="B32" s="7" t="inlineStr">
        <is>
          <t>Аамҭақәа уажәы-уажәы рҽахьеиҭаркуа апланетаҿы Акаршәра дуқәа аҭхаџьреи амлакреи иахьеимаркуа ҭыԥуп.</t>
        </is>
      </c>
      <c r="C32" s="7" t="inlineStr">
        <is>
          <t>На планете, которой управляют сезоны, великие равнины - это изменчивое царство изобилия и голода.</t>
        </is>
      </c>
      <c r="D32" t="inlineStr"/>
      <c r="E32" t="inlineStr"/>
      <c r="F32" t="inlineStr"/>
    </row>
  </sheetData>
  <dataValidations count="2">
    <dataValidation sqref="D2:D32" showDropDown="0" showInputMessage="0" showErrorMessage="0" allowBlank="1" type="list">
      <formula1>"Верно,Частично,Неверно"</formula1>
    </dataValidation>
    <dataValidation sqref="E2:E32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200</v>
      </c>
      <c r="B2" s="7" t="inlineStr">
        <is>
          <t>296 Амшәқәа раамҭа еиҳарак аӡаҿы ирхыргоит.</t>
        </is>
      </c>
      <c r="C2" s="7" t="inlineStr">
        <is>
          <t>времени проводить в воде в этот период года.</t>
        </is>
      </c>
      <c r="D2" t="inlineStr"/>
      <c r="E2" t="inlineStr"/>
      <c r="F2" t="inlineStr"/>
    </row>
    <row r="3">
      <c r="A3" s="6" t="n">
        <v>201</v>
      </c>
      <c r="B3" s="7" t="inlineStr">
        <is>
          <t>297 Ари амшә шьҭа шьҭахьҟа хынҳәышьа амаӡам.</t>
        </is>
      </c>
      <c r="C3" s="7" t="inlineStr">
        <is>
          <t>И у этого медведя обратного пути уже нет, он должен плыть всё дальше в море.</t>
        </is>
      </c>
      <c r="D3" t="inlineStr"/>
      <c r="E3" t="inlineStr"/>
      <c r="F3" t="inlineStr"/>
    </row>
    <row r="4">
      <c r="A4" s="6" t="n">
        <v>202</v>
      </c>
      <c r="B4" s="7" t="inlineStr">
        <is>
          <t>298 Иҵегьы амшын агәахьы инаскьалароуп 299 афатә аԥшааразы.</t>
        </is>
      </c>
      <c r="C4" s="7" t="inlineStr">
        <is>
          <t>В поисках пищи.</t>
        </is>
      </c>
      <c r="D4" t="inlineStr"/>
      <c r="E4" t="inlineStr"/>
      <c r="F4" t="inlineStr"/>
    </row>
    <row r="5">
      <c r="A5" s="6" t="n">
        <v>203</v>
      </c>
      <c r="B5" s="7" t="inlineStr">
        <is>
          <t>300 Аԥхьатәи ашьап дуқәа ацырхырааны иқәԥоит аокеан еиҭаҵра иаиааиразы.</t>
        </is>
      </c>
      <c r="C5" s="7" t="inlineStr">
        <is>
          <t>Огромные передние лапы помогают бороться с океаническими течениями.</t>
        </is>
      </c>
      <c r="D5" t="inlineStr"/>
      <c r="E5" t="inlineStr"/>
      <c r="F5" t="inlineStr"/>
    </row>
    <row r="6">
      <c r="A6" s="6" t="n">
        <v>204</v>
      </c>
      <c r="B6" s="7" t="inlineStr">
        <is>
          <t>301 Аокеан аҿы аҩны иҟоушәа ахы абоит уҳәап,</t>
        </is>
      </c>
      <c r="C6" s="7" t="inlineStr">
        <is>
          <t>Кажется, что он чувствует себя как дома в океане,</t>
        </is>
      </c>
      <c r="D6" t="inlineStr"/>
      <c r="E6" t="inlineStr"/>
      <c r="F6" t="inlineStr"/>
    </row>
    <row r="7">
      <c r="A7" s="6" t="n">
        <v>205</v>
      </c>
      <c r="B7" s="7" t="inlineStr">
        <is>
          <t>302 Аха ас ҵыхәаԥҵәарада изыӡсом.</t>
        </is>
      </c>
      <c r="C7" s="7" t="inlineStr">
        <is>
          <t>но он не может плыть бесконечно.</t>
        </is>
      </c>
      <c r="D7" t="inlineStr"/>
      <c r="E7" t="inlineStr"/>
      <c r="F7" t="inlineStr"/>
    </row>
    <row r="8">
      <c r="A8" s="6" t="n">
        <v>206</v>
      </c>
      <c r="B8" s="7" t="inlineStr">
        <is>
          <t>303 Иӡааҟәрылоит ауп, иҳәаадоу ари аокеан аҿы дгьылк азымԥшаар.</t>
        </is>
      </c>
      <c r="C8" s="7" t="inlineStr">
        <is>
          <t>Он просто утонет, если не сможет найти сушу в бескрайнем океане.</t>
        </is>
      </c>
      <c r="D8" t="inlineStr"/>
      <c r="E8" t="inlineStr"/>
      <c r="F8" t="inlineStr"/>
    </row>
    <row r="9">
      <c r="A9" s="6" t="n">
        <v>207</v>
      </c>
      <c r="B9" s="7" t="inlineStr">
        <is>
          <t>304 Насыԥны, алаԥшҳәаа ахьынаӡоз џьара дгьылбжьахақәак цәырҵит.</t>
        </is>
      </c>
      <c r="C9" s="7" t="inlineStr">
        <is>
          <t>К счастью, на горизонте появились острова.</t>
        </is>
      </c>
      <c r="D9" t="inlineStr"/>
      <c r="E9" t="inlineStr"/>
      <c r="F9" t="inlineStr"/>
    </row>
    <row r="10">
      <c r="A10" s="6" t="n">
        <v>208</v>
      </c>
      <c r="B10" s="7" t="inlineStr">
        <is>
          <t>305 Амшынҳәақәа -моржи) илбааганы ишьҭоу адгьылбжьахақәа рҿы рҽеидыркылоит.</t>
        </is>
      </c>
      <c r="C10" s="7" t="inlineStr">
        <is>
          <t>Моржи собираются на низколежащих островах.</t>
        </is>
      </c>
      <c r="D10" t="inlineStr"/>
      <c r="E10" t="inlineStr"/>
      <c r="F10" t="inlineStr"/>
    </row>
    <row r="11">
      <c r="A11" s="6" t="n">
        <v>209</v>
      </c>
      <c r="B11" s="7" t="inlineStr">
        <is>
          <t>306 Арҭ аҩадатәи ашьапҟьаҟьақәа аҵааҿоуп рыхшара ахьроуз,</t>
        </is>
      </c>
      <c r="C11" s="7" t="inlineStr">
        <is>
          <t>Эти крупные ластоногие севера произвели потомство на льдинах,</t>
        </is>
      </c>
      <c r="D11" t="inlineStr"/>
      <c r="E11" t="inlineStr"/>
      <c r="F11" t="inlineStr"/>
    </row>
    <row r="12">
      <c r="A12" s="6" t="n">
        <v>210</v>
      </c>
      <c r="B12" s="7" t="inlineStr">
        <is>
          <t>307 Аха шьҭа, аҵаа анықәҵ, 308 Иахьықәиаша, рыхшара ахьныҟәыргаша аҭыԥқәа ирышьҭалароуп.</t>
        </is>
      </c>
      <c r="C12" s="7" t="inlineStr">
        <is>
          <t>но теперь, когда ледяной покров сошёл, они должны искать новые места для лежбищ и ухода за детёнышами.</t>
        </is>
      </c>
      <c r="D12" t="inlineStr"/>
      <c r="E12" t="inlineStr"/>
      <c r="F12" t="inlineStr"/>
    </row>
    <row r="13">
      <c r="A13" s="6" t="n">
        <v>211</v>
      </c>
      <c r="B13" s="7" t="inlineStr">
        <is>
          <t>309 Амшә шкәакәа мышқәак рышьҭахь 310 аԥынҵа иҭасыз афҩы иашьҭаланы 311 иӡхыҵуеит аҟәарахьы.</t>
        </is>
      </c>
      <c r="C13" s="7" t="inlineStr">
        <is>
          <t>После нескольких дней плавания самец белого медведя, наконец, выходит на берег, привлечённый резким запахом со стороны острова.</t>
        </is>
      </c>
      <c r="D13" t="inlineStr"/>
      <c r="E13" t="inlineStr"/>
      <c r="F13" t="inlineStr"/>
    </row>
    <row r="14">
      <c r="A14" s="6" t="n">
        <v>212</v>
      </c>
      <c r="B14" s="7" t="inlineStr">
        <is>
          <t>312 Афатә афҩы аҳаит.</t>
        </is>
      </c>
      <c r="C14" s="7" t="inlineStr">
        <is>
          <t>Запахом пищи.</t>
        </is>
      </c>
      <c r="D14" t="inlineStr"/>
      <c r="E14" t="inlineStr"/>
      <c r="F14" t="inlineStr"/>
    </row>
    <row r="15">
      <c r="A15" s="6" t="n">
        <v>213</v>
      </c>
      <c r="B15" s="7" t="inlineStr">
        <is>
          <t>313 Аԥхынра анҵәамҭазы амшә аҟара агхеит,</t>
        </is>
      </c>
      <c r="C15" s="7" t="inlineStr">
        <is>
          <t>К концу лета медведь потерял половину своего веса,</t>
        </is>
      </c>
      <c r="D15" t="inlineStr"/>
      <c r="E15" t="inlineStr"/>
      <c r="F15" t="inlineStr"/>
    </row>
    <row r="16">
      <c r="A16" s="6" t="n">
        <v>214</v>
      </c>
      <c r="B16" s="7" t="inlineStr">
        <is>
          <t>314 аҵаа анықәҵ афатә адгьыл аҿы иаԥшаар акәхеит.</t>
        </is>
      </c>
      <c r="C16" s="7" t="inlineStr">
        <is>
          <t>в отсутствие льдов он вынужден искать пищу на суше.</t>
        </is>
      </c>
      <c r="D16" t="inlineStr"/>
      <c r="E16" t="inlineStr"/>
      <c r="F16" t="inlineStr"/>
    </row>
    <row r="17">
      <c r="A17" s="6" t="n">
        <v>215</v>
      </c>
      <c r="B17" s="7" t="inlineStr">
        <is>
          <t>315 Ари адгьылбжьахаҿы афатә аԥшаара ус имариахом.</t>
        </is>
      </c>
      <c r="C17" s="7" t="inlineStr">
        <is>
          <t>На этом острове добыть еду будет нелегко.</t>
        </is>
      </c>
      <c r="D17" t="inlineStr"/>
      <c r="E17" t="inlineStr"/>
      <c r="F17" t="inlineStr"/>
    </row>
    <row r="18">
      <c r="A18" s="6" t="n">
        <v>216</v>
      </c>
      <c r="B18" s="7" t="inlineStr">
        <is>
          <t>316 Арҭ ашьапҟьаҟьа дуқәа ус рхы урҭом.</t>
        </is>
      </c>
      <c r="C18" s="7" t="inlineStr">
        <is>
          <t>Эти громадные ластоногие не дадут себя в обиду.</t>
        </is>
      </c>
      <c r="D18" t="inlineStr"/>
      <c r="E18" t="inlineStr"/>
      <c r="F18" t="inlineStr"/>
    </row>
    <row r="19">
      <c r="A19" s="6" t="n">
        <v>217</v>
      </c>
      <c r="B19" s="7" t="inlineStr">
        <is>
          <t>317 Ан акапан тоннак иеиҳауп, Метрак аура змоу ацқәа рылагьы иеибыҭоуп,</t>
        </is>
      </c>
      <c r="C19" s="7" t="inlineStr">
        <is>
          <t>самец весит больше тонны и вооружён клыками метровой длины.</t>
        </is>
      </c>
      <c r="D19" t="inlineStr"/>
      <c r="E19" t="inlineStr"/>
      <c r="F19" t="inlineStr"/>
    </row>
    <row r="20">
      <c r="A20" s="6" t="n">
        <v>218</v>
      </c>
      <c r="B20" s="7" t="inlineStr">
        <is>
          <t>318 Аӡсара акыр иарааԥсаз амшә амчқәа шьақәнаргылароуп.</t>
        </is>
      </c>
      <c r="C20" s="7" t="inlineStr">
        <is>
          <t>После утомительного плавания медведю нужно восстановить силы.</t>
        </is>
      </c>
      <c r="D20" t="inlineStr"/>
      <c r="E20" t="inlineStr"/>
      <c r="F20" t="inlineStr"/>
    </row>
    <row r="21">
      <c r="A21" s="6" t="n">
        <v>219</v>
      </c>
      <c r="B21" s="7" t="inlineStr">
        <is>
          <t>319 Аԥсы ашьароуп.</t>
        </is>
      </c>
      <c r="C21" s="7" t="inlineStr">
        <is>
          <t>щтдохнуть.</t>
        </is>
      </c>
      <c r="D21" t="inlineStr"/>
      <c r="E21" t="inlineStr"/>
      <c r="F21" t="inlineStr"/>
    </row>
    <row r="22">
      <c r="A22" s="6" t="n">
        <v>220</v>
      </c>
      <c r="B22" s="7" t="inlineStr">
        <is>
          <t>320 Адырҩаҽны адгьылбжьаха анаҟә ықәчуеит.</t>
        </is>
      </c>
      <c r="C22" s="7" t="inlineStr">
        <is>
          <t>На следующий день остров окутываеттуман.</t>
        </is>
      </c>
      <c r="D22" t="inlineStr"/>
      <c r="E22" t="inlineStr"/>
      <c r="F22" t="inlineStr"/>
    </row>
    <row r="23">
      <c r="A23" s="6" t="n">
        <v>221</v>
      </c>
      <c r="B23" s="7" t="inlineStr">
        <is>
          <t>321 Аморжқәа шәарҭарак шыҟоу Рцәа ианыруеит.</t>
        </is>
      </c>
      <c r="C23" s="7" t="inlineStr">
        <is>
          <t>Моржи чуют опасность.</t>
        </is>
      </c>
      <c r="D23" t="inlineStr"/>
      <c r="E23" t="inlineStr"/>
      <c r="F23" t="inlineStr"/>
    </row>
    <row r="24">
      <c r="A24" s="6" t="n">
        <v>222</v>
      </c>
      <c r="B24" s="7" t="inlineStr">
        <is>
          <t>322 Анаҟә аҽалакны амшә аԥстәқәа рҽеизакны иахьыҟоу иазааигәахоит.</t>
        </is>
      </c>
      <c r="C24" s="7" t="inlineStr">
        <is>
          <t>Под прикрытием тумана медведь подходит к стаду.</t>
        </is>
      </c>
      <c r="D24" t="inlineStr"/>
      <c r="E24" t="inlineStr"/>
      <c r="F24" t="inlineStr"/>
    </row>
    <row r="25">
      <c r="A25" s="6" t="n">
        <v>223</v>
      </c>
      <c r="B25" s="7" t="inlineStr">
        <is>
          <t>323 Адуқәа аӡәи-аӡәи еишьҭагыланы рыхшара ирываӷӷы иаагылоит 324 Ашшеи ацәа жәпеи ркәылӡы аарыкәыршаны.</t>
        </is>
      </c>
      <c r="C25" s="7" t="inlineStr">
        <is>
          <t>Взрослые смыкают ряды вокруг своих детёнышей, образуя стену из жира и толстых шкур.</t>
        </is>
      </c>
      <c r="D25" t="inlineStr"/>
      <c r="E25" t="inlineStr"/>
      <c r="F25" t="inlineStr"/>
    </row>
    <row r="26">
      <c r="A26" s="6" t="n">
        <v>224</v>
      </c>
      <c r="B26" s="7" t="inlineStr">
        <is>
          <t>325 Амшә акәылӡы ӷәаӷәазар гәанаҭоит.</t>
        </is>
      </c>
      <c r="C26" s="7" t="inlineStr">
        <is>
          <t>Медведь пробует барьер на прочность.</t>
        </is>
      </c>
      <c r="D26" t="inlineStr"/>
      <c r="E26" t="inlineStr"/>
      <c r="F26" t="inlineStr"/>
    </row>
    <row r="27">
      <c r="A27" s="6" t="n">
        <v>225</v>
      </c>
      <c r="B27" s="7" t="inlineStr">
        <is>
          <t>326 Аха аморжқәагьы ируам.</t>
        </is>
      </c>
      <c r="C27" s="7" t="inlineStr">
        <is>
          <t>Но моржи не поддаются.</t>
        </is>
      </c>
      <c r="D27" t="inlineStr"/>
      <c r="E27" t="inlineStr"/>
      <c r="F27" t="inlineStr"/>
    </row>
    <row r="28">
      <c r="A28" s="6" t="n">
        <v>226</v>
      </c>
      <c r="B28" s="7" t="inlineStr">
        <is>
          <t>327 Адгьыл аҿы зегь раасҭа идуу агыгшәыг 328 мчла иара иаҟараз аӷа ианиазар ҟалап..</t>
        </is>
      </c>
      <c r="C28" s="7" t="inlineStr">
        <is>
          <t>Похоже, что самый крупный наземный хищник в мире встретил равного противника.</t>
        </is>
      </c>
      <c r="D28" t="inlineStr"/>
      <c r="E28" t="inlineStr"/>
      <c r="F28" t="inlineStr"/>
    </row>
    <row r="29">
      <c r="A29" s="6" t="n">
        <v>227</v>
      </c>
      <c r="B29" s="7" t="inlineStr">
        <is>
          <t>329 Ари ахыхьчага кәылӡы кылаарак амамкәа ишԥаҟалоз?</t>
        </is>
      </c>
      <c r="C29" s="7" t="inlineStr">
        <is>
          <t>Должна же быть хоть какая-то щель в этой броне?</t>
        </is>
      </c>
      <c r="D29" t="inlineStr"/>
      <c r="E29" t="inlineStr"/>
      <c r="F29" t="inlineStr"/>
    </row>
    <row r="30">
      <c r="A30" s="6" t="n">
        <v>228</v>
      </c>
      <c r="B30" s="7" t="inlineStr">
        <is>
          <t>330 Ара акәӡам.</t>
        </is>
      </c>
      <c r="C30" s="7" t="inlineStr">
        <is>
          <t>Ну, точно не здесь.</t>
        </is>
      </c>
      <c r="D30" t="inlineStr"/>
      <c r="E30" t="inlineStr"/>
      <c r="F30" t="inlineStr"/>
    </row>
    <row r="31">
      <c r="A31" s="6" t="n">
        <v>229</v>
      </c>
      <c r="B31" s="7" t="inlineStr">
        <is>
          <t>331 Ан ахшара аԥхьа инагыланы иаҵәахуеит, 332 Амшә уи наҟ иаԥырызгоит ҳәа иаҿуп.</t>
        </is>
      </c>
      <c r="C31" s="7" t="inlineStr">
        <is>
          <t>самка заслоняет собой детёныша, медведь пытается отпихнуть её в сторону.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110</v>
      </c>
      <c r="B2" s="7" t="inlineStr">
        <is>
          <t>Адгьылбжьаха ду Гвинеиа Ҿыц аҿы иҟоуп џьанаҭ ԥсаатәқәа ҳәа изышьҭоу 42 хкы.</t>
        </is>
      </c>
      <c r="C2" s="7" t="inlineStr">
        <is>
          <t>На громадном острове Новая гвинея обитает 42 вида райских птиц.</t>
        </is>
      </c>
      <c r="D2" t="inlineStr"/>
      <c r="E2" t="inlineStr"/>
      <c r="F2" t="inlineStr"/>
    </row>
    <row r="3">
      <c r="A3" s="6" t="n">
        <v>111</v>
      </c>
      <c r="B3" s="7" t="inlineStr">
        <is>
          <t>Ак аҵкыс егьи џьашьахәны.</t>
        </is>
      </c>
      <c r="C3" s="7" t="inlineStr">
        <is>
          <t>Одна причудливей другой.</t>
        </is>
      </c>
      <c r="D3" t="inlineStr"/>
      <c r="E3" t="inlineStr"/>
      <c r="F3" t="inlineStr"/>
    </row>
    <row r="4">
      <c r="A4" s="6" t="n">
        <v>112</v>
      </c>
      <c r="B4" s="7" t="inlineStr">
        <is>
          <t>Ари абнаҿы афатә даара ирацәоуп аҟнытә аԥшаара уадаҩӡам.</t>
        </is>
      </c>
      <c r="C4" s="7" t="inlineStr">
        <is>
          <t>В этом лесутак много пищи, что насытиться можно очень быстро.</t>
        </is>
      </c>
      <c r="D4" t="inlineStr"/>
      <c r="E4" t="inlineStr"/>
      <c r="F4" t="inlineStr"/>
    </row>
    <row r="5">
      <c r="A5" s="6" t="n">
        <v>113</v>
      </c>
      <c r="B5" s="7" t="inlineStr">
        <is>
          <t>Убри аҟнытә џьанаҭ ҵыс, паротиа захьӡу егьырҭ аусқәа ирыхьӡаратәы аамҭа рацәаны иамоуп.</t>
        </is>
      </c>
      <c r="C5" s="7" t="inlineStr">
        <is>
          <t>Благодаря этому у самца шестипёрой райской птицы паротии остаётся время на другие дела, например, уборку площадки для демонстрации.</t>
        </is>
      </c>
      <c r="D5" t="inlineStr"/>
      <c r="E5" t="inlineStr"/>
      <c r="F5" t="inlineStr"/>
    </row>
    <row r="6">
      <c r="A6" s="6" t="n">
        <v>114</v>
      </c>
      <c r="B6" s="7" t="inlineStr">
        <is>
          <t>Иаҳҳәап, арцына анааиуа азы аҽеилнаргоит.</t>
        </is>
      </c>
      <c r="C6" s="7" t="inlineStr">
        <is>
          <t>Всё должно быть безупречно.</t>
        </is>
      </c>
      <c r="D6" t="inlineStr"/>
      <c r="E6" t="inlineStr"/>
      <c r="F6" t="inlineStr"/>
    </row>
    <row r="7">
      <c r="A7" s="6" t="n">
        <v>115</v>
      </c>
      <c r="B7" s="7" t="inlineStr">
        <is>
          <t>Ак агны иҟалоума?! Шьҭа зегьы хиоуп. Уамашәа иубаратәы иҟоуп.</t>
        </is>
      </c>
      <c r="C7" s="7" t="inlineStr">
        <is>
          <t>Воттеперь всё готово. Впечатляет.</t>
        </is>
      </c>
      <c r="D7" t="inlineStr"/>
      <c r="E7" t="inlineStr"/>
      <c r="F7" t="inlineStr"/>
    </row>
    <row r="8">
      <c r="A8" s="6" t="n">
        <v>116</v>
      </c>
      <c r="B8" s="7" t="inlineStr">
        <is>
          <t>Аха избо ҳәа уаҩ дыҟам.</t>
        </is>
      </c>
      <c r="C8" s="7" t="inlineStr">
        <is>
          <t>Только никто не смотрит.</t>
        </is>
      </c>
      <c r="D8" t="inlineStr"/>
      <c r="E8" t="inlineStr"/>
      <c r="F8" t="inlineStr"/>
    </row>
    <row r="9">
      <c r="A9" s="6" t="n">
        <v>117</v>
      </c>
      <c r="B9" s="7" t="inlineStr">
        <is>
          <t>Ари арбаӷь арцына иаԥхьоит. Уи еиҳа разҟы аман.</t>
        </is>
      </c>
      <c r="C9" s="7" t="inlineStr">
        <is>
          <t>самец чудной райской птицы призывает самку. Ему везёт больше.</t>
        </is>
      </c>
      <c r="D9" t="inlineStr"/>
      <c r="E9" t="inlineStr"/>
      <c r="F9" t="inlineStr"/>
    </row>
    <row r="10">
      <c r="A10" s="6" t="n">
        <v>118</v>
      </c>
      <c r="B10" s="7" t="inlineStr">
        <is>
          <t>Иааит.</t>
        </is>
      </c>
      <c r="C10" s="7" t="inlineStr">
        <is>
          <t>Она появилась.</t>
        </is>
      </c>
      <c r="D10" t="inlineStr"/>
      <c r="E10" t="inlineStr"/>
      <c r="F10" t="inlineStr"/>
    </row>
    <row r="11">
      <c r="A11" s="6" t="n">
        <v>119</v>
      </c>
      <c r="B11" s="7" t="inlineStr">
        <is>
          <t>Аха иагәаԥхаразы иҟанаҵо аабап.Азныказы аҽыԥхьанакуеит нас гәҭакыс иамоу аанарԥшырц азы.</t>
        </is>
      </c>
      <c r="C11" s="7" t="inlineStr">
        <is>
          <t>Но что он сделает, чтобы произвести на неё впечатление?</t>
        </is>
      </c>
      <c r="D11" t="inlineStr"/>
      <c r="E11" t="inlineStr"/>
      <c r="F11" t="inlineStr"/>
    </row>
    <row r="12">
      <c r="A12" s="6" t="n">
        <v>120</v>
      </c>
      <c r="B12" s="7" t="inlineStr">
        <is>
          <t>Згәы камҳауа дарбану уџьабаа ахә аназырымшьа.</t>
        </is>
      </c>
      <c r="C12" s="7" t="inlineStr">
        <is>
          <t>Она удаляется для вынесения своего вердикта. Любой опустит руки, когда все старания оказываются напрасными.</t>
        </is>
      </c>
      <c r="D12" t="inlineStr"/>
      <c r="E12" t="inlineStr"/>
      <c r="F12" t="inlineStr"/>
    </row>
    <row r="13">
      <c r="A13" s="6" t="n">
        <v>121</v>
      </c>
      <c r="B13" s="7" t="inlineStr">
        <is>
          <t>Амра адгьыл аҿеиԥш аокеан аҿтәи аԥсҭазаарагьы анырра анаҭоит.</t>
        </is>
      </c>
      <c r="C13" s="7" t="inlineStr">
        <is>
          <t>солнце влияет на всю жизнь, как на суше, так и в океане.</t>
        </is>
      </c>
      <c r="D13" t="inlineStr"/>
      <c r="E13" t="inlineStr"/>
      <c r="F13" t="inlineStr"/>
    </row>
    <row r="14">
      <c r="A14" s="6" t="n">
        <v>122</v>
      </c>
      <c r="B14" s="7" t="inlineStr">
        <is>
          <t>Зегь раасҭа аӡқәа беиоуп ҳәа иԥхьаӡоуп ацәқәырԥақәа афатә ахьнарго аӡыҷчарақәа рҿы .</t>
        </is>
      </c>
      <c r="C14" s="7" t="inlineStr">
        <is>
          <t>самые богатые воды там, где волны и течения выносят питательные вещества на мелководье, хорошо прогреваемое солнцем.</t>
        </is>
      </c>
      <c r="D14" t="inlineStr"/>
      <c r="E14" t="inlineStr"/>
      <c r="F14" t="inlineStr"/>
    </row>
    <row r="15">
      <c r="A15" s="6" t="n">
        <v>123</v>
      </c>
      <c r="B15" s="7" t="inlineStr">
        <is>
          <t>Избанзар ара Амра ашәахәақәа ибзианы ирықәыԥхоит.</t>
        </is>
      </c>
      <c r="C15" s="7" t="inlineStr">
        <is>
          <t>Моря, омывающие мыс Доброй надежды в Южной Африке имеют этот волшебный рецепт и кишат живностью.</t>
        </is>
      </c>
      <c r="D15" t="inlineStr"/>
      <c r="E15" t="inlineStr"/>
      <c r="F15" t="inlineStr"/>
    </row>
    <row r="16">
      <c r="A16" s="6" t="n">
        <v>124</v>
      </c>
      <c r="B16" s="7" t="inlineStr">
        <is>
          <t>Алада Африка иҟоу ашыцра иҿықәсыло амшынқәа рыӡқәагьы абри аҟнытә фатәыла ибеиоуп. Аԥхын – абарақьаҭреи амшын цыгәқәеи алымқәеи рыҿиара иаамҭоуп.</t>
        </is>
      </c>
      <c r="C16" s="7" t="inlineStr">
        <is>
          <t>Лето - время изобилия и сезон размножения морских львов и котиков.</t>
        </is>
      </c>
      <c r="D16" t="inlineStr"/>
      <c r="E16" t="inlineStr"/>
      <c r="F16" t="inlineStr"/>
    </row>
    <row r="17">
      <c r="A17" s="6" t="n">
        <v>125</v>
      </c>
      <c r="B17" s="7" t="inlineStr">
        <is>
          <t>Акула шкәакәа ажәылара еимгеимцаракны имҩаԥысуеит, уи аласра 40-нтәы иагырханы уахәаԥшыр, аагыгшәыг ахымҩаԥгашьеи уи иалоу амч дуи убоит.</t>
        </is>
      </c>
      <c r="C17" s="7" t="inlineStr">
        <is>
          <t>Атака большой белой акулы длится одно мгновение, при замедлении воспроизведения в 40 раз можно разглядеть технику и страшную силу огромного хищника.</t>
        </is>
      </c>
      <c r="D17" t="inlineStr"/>
      <c r="E17" t="inlineStr"/>
      <c r="F17" t="inlineStr"/>
    </row>
    <row r="18">
      <c r="A18" s="6" t="n">
        <v>126</v>
      </c>
      <c r="B18" s="7" t="inlineStr">
        <is>
          <t>Аха ари ажәылара лыҵшәадахар, ашьҭашәарыцарахь ииасуеит.</t>
        </is>
      </c>
      <c r="C18" s="7" t="inlineStr">
        <is>
          <t>Если эффект неожиданности не срабатывает, начинается погоня.</t>
        </is>
      </c>
      <c r="D18" t="inlineStr"/>
      <c r="E18" t="inlineStr"/>
      <c r="F18" t="inlineStr"/>
    </row>
    <row r="19">
      <c r="A19" s="6" t="n">
        <v>127</v>
      </c>
      <c r="B19" s="7" t="inlineStr">
        <is>
          <t>Акула шиашоу иаҳа лассы иӡсоит амшын ҳәа аасҭа, уи еиԥш иаахҵәаны изыгьежьӡом. Аласреи амчи иеинаалом.</t>
        </is>
      </c>
      <c r="C19" s="7" t="inlineStr">
        <is>
          <t>По прямой акула плывёт быстрее, чем тюлень, но она не может поворачивать так же резко, как он. Проворство против силы.</t>
        </is>
      </c>
      <c r="D19" t="inlineStr"/>
      <c r="E19" t="inlineStr"/>
      <c r="F19" t="inlineStr"/>
    </row>
    <row r="20">
      <c r="A20" s="6" t="n">
        <v>128</v>
      </c>
      <c r="B20" s="7" t="inlineStr">
        <is>
          <t>Амшынҳәақәа рыҿиара аамҭа аниаслак акула дуқәа даҽа ҭыԥқәак рахь ииасуеит.</t>
        </is>
      </c>
      <c r="C20" s="7" t="inlineStr">
        <is>
          <t>Кактолько утюленей закончится сезон размножения, гигантские акулы уплывут.</t>
        </is>
      </c>
      <c r="D20" t="inlineStr"/>
      <c r="E20" t="inlineStr"/>
      <c r="F20" t="inlineStr"/>
    </row>
    <row r="21">
      <c r="A21" s="6" t="n">
        <v>129</v>
      </c>
      <c r="B21" s="7" t="inlineStr">
        <is>
          <t>Акула шккәакәақәа зықь километр аокеанқәа ирхысны ицоит иӡсаны еиуеиԥшым амшынқәа рыҟны иҟоу абарақьаҭра иашьҭаланы.</t>
        </is>
      </c>
      <c r="C21" s="7" t="inlineStr">
        <is>
          <t>Известно, что большие белые акулы мигрируют за тысячи километров и переплывают океаны ради сезонного изобилия в разных морях.</t>
        </is>
      </c>
      <c r="D21" t="inlineStr"/>
      <c r="E21" t="inlineStr"/>
      <c r="F21" t="inlineStr"/>
    </row>
    <row r="22">
      <c r="A22" s="6" t="n">
        <v>130</v>
      </c>
      <c r="B22" s="7" t="inlineStr">
        <is>
          <t>Амра иарԥхо арҭ атропикатә ӡқәа роуп адунеи зегьы аҿы аҳауа шьақәзыргыло.</t>
        </is>
      </c>
      <c r="C22" s="7" t="inlineStr">
        <is>
          <t>солнце, нагревающее эти тропические воды, формирует климат всего земного шара.</t>
        </is>
      </c>
      <c r="D22" t="inlineStr"/>
      <c r="E22" t="inlineStr"/>
      <c r="F22" t="inlineStr"/>
    </row>
    <row r="23">
      <c r="A23" s="6" t="n">
        <v>131</v>
      </c>
      <c r="B23" s="7" t="inlineStr">
        <is>
          <t>Иԥхаз аокеан аӡы ахылҩа-ԥсылҩа ажәҩанаҿы иӡлачу ԥсҭҳәақәахоит.</t>
        </is>
      </c>
      <c r="C23" s="7" t="inlineStr">
        <is>
          <t>Под действием тепла вода испаряется с поверхности океана и превращается в грозовые облака.</t>
        </is>
      </c>
      <c r="D23" t="inlineStr"/>
      <c r="E23" t="inlineStr"/>
      <c r="F23" t="inlineStr"/>
    </row>
    <row r="24">
      <c r="A24" s="6" t="n">
        <v>132</v>
      </c>
      <c r="B24" s="7" t="inlineStr">
        <is>
          <t>Амшын иахылҵыз аԥша адгьыл ахь иасуеит, аконтинетқәа ирықәлоит.</t>
        </is>
      </c>
      <c r="C24" s="7" t="inlineStr">
        <is>
          <t>Ветры, рождённые в море, устремляются на сушу, и проносятся над континентами.</t>
        </is>
      </c>
      <c r="D24" t="inlineStr"/>
      <c r="E24" t="inlineStr"/>
      <c r="F24" t="inlineStr"/>
    </row>
    <row r="25">
      <c r="A25" s="6" t="n">
        <v>133</v>
      </c>
      <c r="B25" s="7" t="inlineStr">
        <is>
          <t>Сахара асакарақәа ирықәсуа афырҭын, аԥслымӡ фырҭын шьҭнахуеит, уи аԥслымӡ адгьыл агьи аганахь иаанагоит, Амазонка абнаршәырақәа рҟынӡагьы инаганы иқәнаԥсоит.</t>
        </is>
      </c>
      <c r="C25" s="7" t="inlineStr">
        <is>
          <t>Над пустыней сахарой ураганные ветры вызывают сильнейшие песчаные бури и переносят песок на другой край земли, где он оседает даже в Амазонских джунглях.</t>
        </is>
      </c>
      <c r="D25" t="inlineStr"/>
      <c r="E25" t="inlineStr"/>
      <c r="F25" t="inlineStr"/>
    </row>
    <row r="26">
      <c r="A26" s="6" t="n">
        <v>134</v>
      </c>
      <c r="B26" s="7" t="inlineStr">
        <is>
          <t>Индиатәи аокеан иқәсуа аԥшақәа ацәаакыра еизганы ҩадаҟа, Гималаи ашьхақәа рышҟа ихаргалоит.</t>
        </is>
      </c>
      <c r="C26" s="7" t="inlineStr">
        <is>
          <t>Ветры, дующие над Индийским океаном, собирают влагу и несут её на север, к гималаям.</t>
        </is>
      </c>
      <c r="D26" t="inlineStr"/>
      <c r="E26" t="inlineStr"/>
      <c r="F26" t="inlineStr"/>
    </row>
    <row r="27">
      <c r="A27" s="6" t="n">
        <v>135</v>
      </c>
      <c r="B27" s="7" t="inlineStr">
        <is>
          <t>Ара аҳауа хьшәашәоит.</t>
        </is>
      </c>
      <c r="C27" s="7" t="inlineStr">
        <is>
          <t>Поднимаясь, воздух охлаждается.</t>
        </is>
      </c>
      <c r="D27" t="inlineStr"/>
      <c r="E27" t="inlineStr"/>
      <c r="F27" t="inlineStr"/>
    </row>
    <row r="28">
      <c r="A28" s="6" t="n">
        <v>136</v>
      </c>
      <c r="B28" s="7" t="inlineStr">
        <is>
          <t>Аӡы иалоу ԥсҭҳәахоит, анаҩс аԥсабаразы иԥсҭаҵагоу амуссонтә қәаны илеиуеит.</t>
        </is>
      </c>
      <c r="C28" s="7" t="inlineStr">
        <is>
          <t>Влага, которая в нём содержится, превращается в облака, а затем выпадает в виде живительных муссонных дождей.</t>
        </is>
      </c>
      <c r="D28" t="inlineStr"/>
      <c r="E28" t="inlineStr"/>
      <c r="F28" t="inlineStr"/>
    </row>
    <row r="29">
      <c r="A29" s="6" t="n">
        <v>137</v>
      </c>
      <c r="B29" s="7" t="inlineStr">
        <is>
          <t>Амра ашәахәақәа анрылаԥхалак ицәааку аҳауа аконтинент ахь ииасуеит.</t>
        </is>
      </c>
      <c r="C29" s="7" t="inlineStr">
        <is>
          <t>Под действием солнца воздушные течения переносят влажный воздух на континент.</t>
        </is>
      </c>
      <c r="D29" t="inlineStr"/>
      <c r="E29" t="inlineStr"/>
      <c r="F29" t="inlineStr"/>
    </row>
    <row r="30">
      <c r="A30" s="6" t="n">
        <v>138</v>
      </c>
      <c r="B30" s="7" t="inlineStr">
        <is>
          <t>Ӡыда ԥсҭазаара ыҟам, аха адгьыл зегьы иазеиҟараны иахьыгӡам.</t>
        </is>
      </c>
      <c r="C30" s="7" t="inlineStr">
        <is>
          <t>Без воды не может быть жизни, но она распределена по земле крайне неравномерно.</t>
        </is>
      </c>
      <c r="D30" t="inlineStr"/>
      <c r="E30" t="inlineStr"/>
      <c r="F30" t="inlineStr"/>
    </row>
    <row r="31">
      <c r="A31" s="6" t="n">
        <v>139</v>
      </c>
      <c r="B31" s="7" t="inlineStr">
        <is>
          <t>Адгьыл хыџьара ишаны хәҭак асакарақәа ирыҵаркуеит.</t>
        </is>
      </c>
      <c r="C31" s="7" t="inlineStr">
        <is>
          <t>Пустыни покрываюттреть земной поверхности, и с каждым годом их площадь увеличивается.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12</v>
      </c>
      <c r="B2" s="7" t="inlineStr">
        <is>
          <t>Атыҩша ҵәыҵәырақәа рыла иҭәу аӡиақәа ирҳәоит адгьыл аҵаҟа аҵаулараҿы, авулкантә процессқәа аилашра ишаҿу.</t>
        </is>
      </c>
      <c r="C2" s="7" t="inlineStr">
        <is>
          <t>Озёра, заполненные серной кислотой, говорят о том, что глубоко под землёй идут бурные вулканические процессы.</t>
        </is>
      </c>
      <c r="D2" t="inlineStr"/>
      <c r="E2" t="inlineStr"/>
      <c r="F2" t="inlineStr"/>
    </row>
    <row r="3">
      <c r="A3" s="6" t="n">
        <v>13</v>
      </c>
      <c r="B3" s="7" t="inlineStr">
        <is>
          <t>Ари Данакил аҭаҳароуп. Ефиопиа иҟоуп.</t>
        </is>
      </c>
      <c r="C3" s="7" t="inlineStr">
        <is>
          <t>Это - впадина Данакиль в Эфиопии,</t>
        </is>
      </c>
      <c r="D3" t="inlineStr"/>
      <c r="E3" t="inlineStr"/>
      <c r="F3" t="inlineStr"/>
    </row>
    <row r="4">
      <c r="A4" s="6" t="n">
        <v>14</v>
      </c>
      <c r="B4" s="7" t="inlineStr">
        <is>
          <t>Адгьыл ацәа аиҟәыршьшьарҭа ду аҿы, маҷ-маҷ аидыҵра иаҿу архитектоникатә плитақәа ҩба реиҿагыларҭаҿы ишьҭоуп.</t>
        </is>
      </c>
      <c r="C4" s="7" t="inlineStr">
        <is>
          <t>она находится в гигантской трещине земной коры, на стыке двухтектонических плит, которые медленно отодвигаются друг от друга.</t>
        </is>
      </c>
      <c r="D4" t="inlineStr"/>
      <c r="E4" t="inlineStr"/>
      <c r="F4" t="inlineStr"/>
    </row>
    <row r="5">
      <c r="A5" s="6" t="n">
        <v>15</v>
      </c>
      <c r="B5" s="7" t="inlineStr">
        <is>
          <t>Аҵантә, абри аиҟәжәарҭахьтә ибжьыҵны хыхь ихалоит алава, аки-аки иеишьҭаргыланы авулкан ҿыцқәа зхылҵуа.</t>
        </is>
      </c>
      <c r="C5" s="7" t="inlineStr">
        <is>
          <t>Через этот разлом из недр на поверхность поднимается лава, создавая цепь молодых вулканов.</t>
        </is>
      </c>
      <c r="D5" t="inlineStr"/>
      <c r="E5" t="inlineStr"/>
      <c r="F5" t="inlineStr"/>
    </row>
    <row r="6">
      <c r="A6" s="6" t="n">
        <v>16</v>
      </c>
      <c r="B6" s="7" t="inlineStr">
        <is>
          <t>Авулкан Ерте Але. Апланетаҿы зегьы раасҭа мчы змоу.</t>
        </is>
      </c>
      <c r="C6" s="7" t="inlineStr">
        <is>
          <t>Вулкан Эрте Але - самый активный вулкан на планете,</t>
        </is>
      </c>
      <c r="D6" t="inlineStr"/>
      <c r="E6" t="inlineStr"/>
      <c r="F6" t="inlineStr"/>
    </row>
    <row r="7">
      <c r="A7" s="6" t="n">
        <v>17</v>
      </c>
      <c r="B7" s="7" t="inlineStr">
        <is>
          <t>Ари авулкан аҭаҳараҿы иҟоуп иӡыҭыз алава зҭатәоу аӡиа. Уи шьҭа 100 шықәса иреиҳауп аилашра иаҿуижьҭеи.</t>
        </is>
      </c>
      <c r="C7" s="7" t="inlineStr">
        <is>
          <t>в его кратере находится озеро расплавленной лавы, которое кипит уже больше 100 лет.</t>
        </is>
      </c>
      <c r="D7" t="inlineStr"/>
      <c r="E7" t="inlineStr"/>
      <c r="F7" t="inlineStr"/>
    </row>
    <row r="8">
      <c r="A8" s="6" t="n">
        <v>18</v>
      </c>
      <c r="B8" s="7" t="inlineStr">
        <is>
          <t>Анкьа зны абарҭ атектоникатә мчқәа роуп ишьақәзыргылаз Ефиопиатәи аҳаракырагьы.</t>
        </is>
      </c>
      <c r="C8" s="7" t="inlineStr">
        <is>
          <t>Когда-то те же самые тектонические силы создали Эфиопское нагорье.</t>
        </is>
      </c>
      <c r="D8" t="inlineStr"/>
      <c r="E8" t="inlineStr"/>
      <c r="F8" t="inlineStr"/>
    </row>
    <row r="9">
      <c r="A9" s="6" t="n">
        <v>19</v>
      </c>
      <c r="B9" s="7" t="inlineStr">
        <is>
          <t>70 миллион шықәса раԥхьа абри аҭыԥ аҿы иҟан Данакила аҭаҳара аҵан ишьҭаз акаршәра еиужь.</t>
        </is>
      </c>
      <c r="C9" s="7" t="inlineStr">
        <is>
          <t>70 миллионов лет назад на этом месте была плоская равнина, лежавшая на глубине впадины Данакиль.</t>
        </is>
      </c>
      <c r="D9" t="inlineStr"/>
      <c r="E9" t="inlineStr"/>
      <c r="F9" t="inlineStr"/>
    </row>
    <row r="10">
      <c r="A10" s="6" t="n">
        <v>20</v>
      </c>
      <c r="B10" s="7" t="inlineStr">
        <is>
          <t>Иӡыҭыз алава адгьыл аҵантә ихаланы, каршәра дуны ишьҭалеит, Уи аҭбаара 800 км рҟынӡа инаӡоит.</t>
        </is>
      </c>
      <c r="C10" s="7" t="inlineStr">
        <is>
          <t>Расплавленная лава, поднимавшаяся из недр земли, образовала огромное плато шириной в восемьсот километров</t>
        </is>
      </c>
      <c r="D10" t="inlineStr"/>
      <c r="E10" t="inlineStr"/>
      <c r="F10" t="inlineStr"/>
    </row>
    <row r="11">
      <c r="A11" s="6" t="n">
        <v>21</v>
      </c>
      <c r="B11" s="7" t="inlineStr">
        <is>
          <t>Африкагьы хыбраҵас иахагылоу иароуп.</t>
        </is>
      </c>
      <c r="C11" s="7" t="inlineStr">
        <is>
          <t>- крышу Африки.</t>
        </is>
      </c>
      <c r="D11" t="inlineStr"/>
      <c r="E11" t="inlineStr"/>
      <c r="F11" t="inlineStr"/>
    </row>
    <row r="12">
      <c r="A12" s="6" t="n">
        <v>22</v>
      </c>
      <c r="B12" s="7" t="inlineStr">
        <is>
          <t>Азқьышықәсақәа рыҩныҵҟала ақәеи аҵаақәеи идыршәыз алава зықәцәқәа ҵару аҩхаақәаны игылт.</t>
        </is>
      </c>
      <c r="C12" s="7" t="inlineStr">
        <is>
          <t>За многие тысячелетия дожди и льды превратили застывшую лаву в остроконечные пики и каньоны.</t>
        </is>
      </c>
      <c r="D12" t="inlineStr"/>
      <c r="E12" t="inlineStr"/>
      <c r="F12" t="inlineStr"/>
    </row>
    <row r="13">
      <c r="A13" s="6" t="n">
        <v>23</v>
      </c>
      <c r="B13" s="7" t="inlineStr">
        <is>
          <t>Арҭ ашьхақәа рҿы хә-километрак инарзынаԥшуа аҳаракыраҿы ԥстәы џьашьахәқәак нхоит – Геллады захьӡу амаамынқәа.</t>
        </is>
      </c>
      <c r="C13" s="7" t="inlineStr">
        <is>
          <t>В этих горах, на почти пятикилометровой высоте живут уникальные животные - обезьяны геллады.</t>
        </is>
      </c>
      <c r="D13" t="inlineStr"/>
      <c r="E13" t="inlineStr"/>
      <c r="F13" t="inlineStr"/>
    </row>
    <row r="14">
      <c r="A14" s="6" t="n">
        <v>24</v>
      </c>
      <c r="B14" s="7" t="inlineStr">
        <is>
          <t>Арҭ амаамынқәа Ефиопиатәи аҳаракырақәа рҿы ада џьаргьы иуԥылаӡом.</t>
        </is>
      </c>
      <c r="C14" s="7" t="inlineStr">
        <is>
          <t>Эти обезьяны обитаюттолько на Эфиопском нагорье.</t>
        </is>
      </c>
      <c r="D14" t="inlineStr"/>
      <c r="E14" t="inlineStr"/>
      <c r="F14" t="inlineStr"/>
    </row>
    <row r="15">
      <c r="A15" s="6" t="n">
        <v>25</v>
      </c>
      <c r="B15" s="7" t="inlineStr">
        <is>
          <t>Дара ахьыцәо ацаҟьақәа рҿы – ибзианы иазыҟаҵоу альпинистцәа рыда уаҩ дызнеиӡом.</t>
        </is>
      </c>
      <c r="C15" s="7" t="inlineStr">
        <is>
          <t>скалы, на которых они спят, доступны только профессиональным альпинистам.</t>
        </is>
      </c>
      <c r="D15" t="inlineStr"/>
      <c r="E15" t="inlineStr"/>
      <c r="F15" t="inlineStr"/>
    </row>
    <row r="16">
      <c r="A16" s="6" t="n">
        <v>26</v>
      </c>
      <c r="B16" s="7" t="inlineStr">
        <is>
          <t>Агелладақәа ара анхаразы иаҭаху зегь рымоуп: егьырҭ амаамынқәа зегь раасҭа рнацәкьарақәа ӷәӷәоуп, агәаӷьрагьы рымоуп.</t>
        </is>
      </c>
      <c r="C16" s="7" t="inlineStr">
        <is>
          <t>У геллад есть для этого всё необходимое: самые сильные пальцы среди приматов и настоящее бесстрашие.</t>
        </is>
      </c>
      <c r="D16" t="inlineStr"/>
      <c r="E16" t="inlineStr"/>
      <c r="F16" t="inlineStr"/>
    </row>
    <row r="17">
      <c r="A17" s="6" t="n">
        <v>27</v>
      </c>
      <c r="B17" s="7" t="inlineStr">
        <is>
          <t>Аха, араҟа аҟазааразы аҳаракыра ацәымшәара мацара азхаӡом.</t>
        </is>
      </c>
      <c r="C17" s="7" t="inlineStr">
        <is>
          <t>Но, чтобы здесь жить, недостаточно просто не бояться высоты.</t>
        </is>
      </c>
      <c r="D17" t="inlineStr"/>
      <c r="E17" t="inlineStr"/>
      <c r="F17" t="inlineStr"/>
    </row>
    <row r="18">
      <c r="A18" s="6" t="n">
        <v>28</v>
      </c>
      <c r="B18" s="7" t="inlineStr">
        <is>
          <t>Агелладақәа мышктәи рыԥсҭазаарала, урҭ зынио ауадаҩрақәа ацәцашьас иарҭо џьаушьаратәы иҟоуп.</t>
        </is>
      </c>
      <c r="C18" s="7" t="inlineStr">
        <is>
          <t>Один день из жизни геллад - это наглядное пособие по выживанию в экстремальных условиях.</t>
        </is>
      </c>
      <c r="D18" t="inlineStr"/>
      <c r="E18" t="inlineStr"/>
      <c r="F18" t="inlineStr"/>
    </row>
    <row r="19">
      <c r="A19" s="6" t="n">
        <v>29</v>
      </c>
      <c r="B19" s="7" t="inlineStr">
        <is>
          <t>Ашьыжь амаамынқәа зегьы рхәы дрыцқьоит, уи анаҩс аиҩызцәа реицәажәара иаамҭоуп.</t>
        </is>
      </c>
      <c r="C19" s="7" t="inlineStr">
        <is>
          <t>Утро для всех обезьян - это время ухода за шерстью и возможность пообщаться с друзьями.</t>
        </is>
      </c>
      <c r="D19" t="inlineStr"/>
      <c r="E19" t="inlineStr"/>
      <c r="F19" t="inlineStr"/>
    </row>
    <row r="20">
      <c r="A20" s="6" t="n">
        <v>30</v>
      </c>
      <c r="B20" s="7" t="inlineStr">
        <is>
          <t>Аха егьырҭ амаамынқәа излареиԥшым, ари аҵас анымҩаԥысуа агелладақәа ҿеихак рымаӡам… Абас ауп ажәабжь ҿыцқәа шеибырҳәо, рус иаҿнаҵы, рнапқәа ҭацәаанӡа.</t>
        </is>
      </c>
      <c r="C20" s="7" t="inlineStr">
        <is>
          <t>Но, в отличие от других обезьян, геллады сопровождают этот ритуал непрерывным щебетаньем. Это отличный способ обменяться новостями, пока руки заняты делом.</t>
        </is>
      </c>
      <c r="D20" t="inlineStr"/>
      <c r="E20" t="inlineStr"/>
      <c r="F20" t="inlineStr"/>
    </row>
    <row r="21">
      <c r="A21" s="6" t="n">
        <v>31</v>
      </c>
      <c r="B21" s="7" t="inlineStr">
        <is>
          <t>Аха аицәажәаразы рацәакгьы аамҭа рымаӡам, агелладақәа еилахоуп, рус рацәоуп.</t>
        </is>
      </c>
      <c r="C21" s="7" t="inlineStr">
        <is>
          <t>Но время общения ограничено, у геллад напряжённый график и много работы.</t>
        </is>
      </c>
      <c r="D21" t="inlineStr"/>
      <c r="E21" t="inlineStr"/>
      <c r="F21" t="inlineStr"/>
    </row>
    <row r="22">
      <c r="A22" s="6" t="n">
        <v>32</v>
      </c>
      <c r="B22" s="7" t="inlineStr">
        <is>
          <t>Амаамынқәа реиҳарак рзы ара аԥсҭазаара уадаҩуп: иҟам ашәыр, ирфаша ахәаҷа-маҷа маҷуп.</t>
        </is>
      </c>
      <c r="C22" s="7" t="inlineStr">
        <is>
          <t>Для большинства обезьян жизнь здесь невозможна: нет фруктов и мало съедобных насекомых.</t>
        </is>
      </c>
      <c r="D22" t="inlineStr"/>
      <c r="E22" t="inlineStr"/>
      <c r="F22" t="inlineStr"/>
    </row>
    <row r="23">
      <c r="A23" s="6" t="n">
        <v>33</v>
      </c>
      <c r="B23" s="7" t="inlineStr">
        <is>
          <t>Аха агелладақәа апланета иқәу егьырҭ амаамынқәа иреиԥшӡам, Иҟаӡам даҽа маамынқәак – дара реиԥш аҳаскьын мацара фатәыс измоу.</t>
        </is>
      </c>
      <c r="C23" s="7" t="inlineStr">
        <is>
          <t>Но геллады уникальны, это - единственные обезьяны в мире, которые питаются практически одной травой.</t>
        </is>
      </c>
      <c r="D23" t="inlineStr"/>
      <c r="E23" t="inlineStr"/>
      <c r="F23" t="inlineStr"/>
    </row>
    <row r="24">
      <c r="A24" s="6" t="n">
        <v>34</v>
      </c>
      <c r="B24" s="7" t="inlineStr">
        <is>
          <t>Агелладақәа амаамын гәыԥқәа зегьы иреиҳауп.</t>
        </is>
      </c>
      <c r="C24" s="7" t="inlineStr">
        <is>
          <t>Они образуют самые большие сообщества в обезьяньем мире.</t>
        </is>
      </c>
      <c r="D24" t="inlineStr"/>
      <c r="E24" t="inlineStr"/>
      <c r="F24" t="inlineStr"/>
    </row>
    <row r="25">
      <c r="A25" s="6" t="n">
        <v>35</v>
      </c>
      <c r="B25" s="7" t="inlineStr">
        <is>
          <t>Урҭ аашә раҟара еицны иануԥыло ыҟоуп, антилопа гну еиԥш, ахәыҳаракырақәа рахь ихалоит, еицԥыҳәаны аҳаскьынфаразы.</t>
        </is>
      </c>
      <c r="C25" s="7" t="inlineStr">
        <is>
          <t>Численность стада может доходить до восьмисот особей, которые, как антилопы гну, щиплют травку на высокогорных лугах.</t>
        </is>
      </c>
      <c r="D25" t="inlineStr"/>
      <c r="E25" t="inlineStr"/>
      <c r="F25" t="inlineStr"/>
    </row>
    <row r="26">
      <c r="A26" s="6" t="n">
        <v>36</v>
      </c>
      <c r="B26" s="7" t="inlineStr">
        <is>
          <t>Дара абӷаџьмақәа рааигәара иҳәуеит. Урҭгьы арҭ ашьха ҳаракырақәа рҿы мацароуп иахьуԥыло.</t>
        </is>
      </c>
      <c r="C26" s="7" t="inlineStr">
        <is>
          <t>Геллады пасутся рядом с горными козлами, которые тоже обитаюттолько в этих горах.</t>
        </is>
      </c>
      <c r="D26" t="inlineStr"/>
      <c r="E26" t="inlineStr"/>
      <c r="F26" t="inlineStr"/>
    </row>
    <row r="27">
      <c r="A27" s="6" t="n">
        <v>37</v>
      </c>
      <c r="B27" s="7" t="inlineStr">
        <is>
          <t>Арҭ аџьмақәа даара ашәара злоу ԥстәқәоуп, аха агелладақәа рааигәара ргәы ҭынчуп.</t>
        </is>
      </c>
      <c r="C27" s="7" t="inlineStr">
        <is>
          <t>Обычно эти редкие животные очень пугливы, но в окружении геллад они чувствуют себя непринуждённо.</t>
        </is>
      </c>
      <c r="D27" t="inlineStr"/>
      <c r="E27" t="inlineStr"/>
      <c r="F27" t="inlineStr"/>
    </row>
    <row r="28">
      <c r="A28" s="6" t="n">
        <v>38</v>
      </c>
      <c r="B28" s="7" t="inlineStr">
        <is>
          <t>Шамахамзар, аҳаскьын зфо ҩ-ԥстәы хкык ҳәырҭак аҿы иааибны иҟалаӡом, аха арҭ еиҩызара ҷыдак рыбжьоуп, реиҩызара аҩ-ганкгьы ирыхәоит.</t>
        </is>
      </c>
      <c r="C28" s="7" t="inlineStr">
        <is>
          <t>Редко увидишь, когда два вида травоядных уживаются на одной территории, но это - особый союз, который выгоден обеим сторонам.</t>
        </is>
      </c>
      <c r="D28" t="inlineStr"/>
      <c r="E28" t="inlineStr"/>
      <c r="F28" t="inlineStr"/>
    </row>
    <row r="29">
      <c r="A29" s="6" t="n">
        <v>39</v>
      </c>
      <c r="B29" s="7" t="inlineStr">
        <is>
          <t>Џьоукы ԥшыхәуанаҵы, Егьырҭ ргәы рҭынчны акрырфоит.</t>
        </is>
      </c>
      <c r="C29" s="7" t="inlineStr">
        <is>
          <t>Пока одни стоят на страже, другие могут спокойно кормиться.</t>
        </is>
      </c>
      <c r="D29" t="inlineStr"/>
      <c r="E29" t="inlineStr"/>
      <c r="F29" t="inlineStr"/>
    </row>
    <row r="30">
      <c r="A30" s="6" t="n">
        <v>40</v>
      </c>
      <c r="B30" s="7" t="inlineStr">
        <is>
          <t>Ефиопиатәи абгалаџқәа.</t>
        </is>
      </c>
      <c r="C30" s="7" t="inlineStr">
        <is>
          <t>Эфиопские шакалы.</t>
        </is>
      </c>
      <c r="D30" t="inlineStr"/>
      <c r="E30" t="inlineStr"/>
      <c r="F30" t="inlineStr"/>
    </row>
    <row r="31">
      <c r="A31" s="6" t="n">
        <v>41</v>
      </c>
      <c r="B31" s="7" t="inlineStr">
        <is>
          <t>Арҭ аҽнышьыбжьон қәылара ицаӡом.</t>
        </is>
      </c>
      <c r="C31" s="7" t="inlineStr">
        <is>
          <t>Они не станут нападать среди бела дня.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70</v>
      </c>
      <c r="B2" s="7" t="inlineStr">
        <is>
          <t>Абас акенгуру ажәӡы ихылҩа-ԥсылҩаханы, ианақәбалак ашьа архьшәашәоит.</t>
        </is>
      </c>
      <c r="C2" s="7" t="inlineStr">
        <is>
          <t>И слюна, испаряясь, охлаждает кровь.</t>
        </is>
      </c>
      <c r="D2" t="inlineStr"/>
      <c r="E2" t="inlineStr"/>
      <c r="F2" t="inlineStr"/>
    </row>
    <row r="3">
      <c r="A3" s="6" t="n">
        <v>71</v>
      </c>
      <c r="B3" s="7" t="inlineStr">
        <is>
          <t>Абри асахьала иубоит абри апроцесс шаҟа лыҵшәа аманы имҩаԥысуа.</t>
        </is>
      </c>
      <c r="C3" s="7" t="inlineStr">
        <is>
          <t>Тепловое изображение показывает, насколько эффективен этот процесс.</t>
        </is>
      </c>
      <c r="D3" t="inlineStr"/>
      <c r="E3" t="inlineStr"/>
      <c r="F3" t="inlineStr"/>
    </row>
    <row r="4">
      <c r="A4" s="6" t="n">
        <v>72</v>
      </c>
      <c r="B4" s="7" t="inlineStr">
        <is>
          <t>Аеҵәа ԥшшәы иеиҳа ихьшәашәаз ацәеижьхәҭақәа роуп.</t>
        </is>
      </c>
      <c r="C4" s="7" t="inlineStr">
        <is>
          <t>Голубой цвет - это более холодные части тела.</t>
        </is>
      </c>
      <c r="D4" t="inlineStr"/>
      <c r="E4" t="inlineStr"/>
      <c r="F4" t="inlineStr"/>
    </row>
    <row r="5">
      <c r="A5" s="6" t="n">
        <v>73</v>
      </c>
      <c r="B5" s="7" t="inlineStr">
        <is>
          <t>Ажәӡы шақәбаз еиԥшҵәҟьа, еиҭа иналагоит ари апроцесс, аха уи акенгуру аорганизм акыр аӡы ацәнарӡуеит.</t>
        </is>
      </c>
      <c r="C5" s="7" t="inlineStr">
        <is>
          <t>Кактолько слюна высыхает, процесс приходится начинать сначала, и это сильно истощает запас жидкости в организме кенгуру.</t>
        </is>
      </c>
      <c r="D5" t="inlineStr"/>
      <c r="E5" t="inlineStr"/>
      <c r="F5" t="inlineStr"/>
    </row>
    <row r="6">
      <c r="A6" s="6" t="n">
        <v>74</v>
      </c>
      <c r="B6" s="7" t="inlineStr">
        <is>
          <t>Ашәшьыраҿгьы адгьыл адырган еиԥшҵәҟьа ишуп, убри аҟнытә акенгуру аԥслымӡ хыхьтәи аҿыгҳара еиԥхьырттаауа, ажра иалагоит еиҳа иахьыхьшәашәоу аҟынӡа инаӡаразы.</t>
        </is>
      </c>
      <c r="C6" s="7" t="inlineStr">
        <is>
          <t>Даже в тени земля раскалена, как сковородка, поэтому кенгуру раскапывают верхний, горячий слой песка, чтобы добраться до более прохладных его слоёв.</t>
        </is>
      </c>
      <c r="D6" t="inlineStr"/>
      <c r="E6" t="inlineStr"/>
      <c r="F6" t="inlineStr"/>
    </row>
    <row r="7">
      <c r="A7" s="6" t="n">
        <v>75</v>
      </c>
      <c r="B7" s="7" t="inlineStr">
        <is>
          <t>Абас, ашәшьыра рҽаҭаны, рцәеижь ашыра рыжәӡала ирхьшәашәо, акенгуруқәа амра ацара рмысыртә, рхы иацклаԥшуа, ашоура бааԥсқәа рхыргоит.</t>
        </is>
      </c>
      <c r="C7" s="7" t="inlineStr">
        <is>
          <t>И воттак, держась в тени, регулируя температурутела при помощи слюны, кенгуру способны пережить самое жаркое время суток без теплового удара.</t>
        </is>
      </c>
      <c r="D7" t="inlineStr"/>
      <c r="E7" t="inlineStr"/>
      <c r="F7" t="inlineStr"/>
    </row>
    <row r="8">
      <c r="A8" s="6" t="n">
        <v>76</v>
      </c>
      <c r="B8" s="7" t="inlineStr">
        <is>
          <t>Аха аԥстәқәа реиҳарак ас мацара рхы рзыхьчаӡом.</t>
        </is>
      </c>
      <c r="C8" s="7" t="inlineStr">
        <is>
          <t>Но для большинства животныхтакой стратегии для выживания мало.</t>
        </is>
      </c>
      <c r="D8" t="inlineStr"/>
      <c r="E8" t="inlineStr"/>
      <c r="F8" t="inlineStr"/>
    </row>
    <row r="9">
      <c r="A9" s="6" t="n">
        <v>77</v>
      </c>
      <c r="B9" s="7" t="inlineStr">
        <is>
          <t>Фенека захьӡу африкатәи абгахәыҷы алымҳа дуқәа аԥхарреиҭныԥсахлара апроцесс иалахәуп, аха арҭ аԥстәқәа даҽакалагьы рыҽдырхьшәашәоит.</t>
        </is>
      </c>
      <c r="C9" s="7" t="inlineStr">
        <is>
          <t>Огромные уши африканской лисички фенека участвуют в процессе теплообмена, но у этих животных есть ещё один способ охлаждения.</t>
        </is>
      </c>
      <c r="D9" t="inlineStr"/>
      <c r="E9" t="inlineStr"/>
      <c r="F9" t="inlineStr"/>
    </row>
    <row r="10">
      <c r="A10" s="6" t="n">
        <v>78</v>
      </c>
      <c r="B10" s="7" t="inlineStr">
        <is>
          <t>Урҭ амш зегьы анышә ихәыҵоуп, амра ҭашәо ианалагалак ихәыҵыҵуеит ауп.</t>
        </is>
      </c>
      <c r="C10" s="7" t="inlineStr">
        <is>
          <t>Просто весь день они проводят под землёй и вылезают на закате.</t>
        </is>
      </c>
      <c r="D10" t="inlineStr"/>
      <c r="E10" t="inlineStr"/>
      <c r="F10" t="inlineStr"/>
    </row>
    <row r="11">
      <c r="A11" s="6" t="n">
        <v>79</v>
      </c>
      <c r="B11" s="7" t="inlineStr">
        <is>
          <t>Алашьцара аиҭакрақәа маҷымкәа иацны иааиуеит. Сахара уахынла ҽынла аасҭа аҳауа 30 градус иеиҵахоит, уахынла аԥацәа цәырҵны ихәмарыртә аҟынӡа ихьшәашәарахоит.</t>
        </is>
      </c>
      <c r="C11" s="7" t="inlineStr">
        <is>
          <t>Ночная темнота приносит огромные перемены, в сахаре ночная температура ниже дневной на 30 градусов, то есть достаточно прохладно, чтобы детёныши могли поиграть.</t>
        </is>
      </c>
      <c r="D11" t="inlineStr"/>
      <c r="E11" t="inlineStr"/>
      <c r="F11" t="inlineStr"/>
    </row>
    <row r="12">
      <c r="A12" s="6" t="n">
        <v>80</v>
      </c>
      <c r="B12" s="7" t="inlineStr">
        <is>
          <t>Зыҭрақәа ирҭымҵуа арбану. Урҭ ирылоуп џьашьахәқәакгьы.</t>
        </is>
      </c>
      <c r="C12" s="7" t="inlineStr">
        <is>
          <t>Всевозможные существа вылезают из своих убежищ, в том числе весьма необычные.</t>
        </is>
      </c>
      <c r="D12" t="inlineStr"/>
      <c r="E12" t="inlineStr"/>
      <c r="F12" t="inlineStr"/>
    </row>
    <row r="13">
      <c r="A13" s="6" t="n">
        <v>81</v>
      </c>
      <c r="B13" s="7" t="inlineStr">
        <is>
          <t>Аҽаҩрадаӷьқәа рцәа аӡы алсуеит аҟынтә, шьыбжьагәазы амра анкацеиуа, аӡыдара иаганы иԥсыр алшоит азы рхыхьчарҭақәа ианырҭыҵуа уахынлоуп.</t>
        </is>
      </c>
      <c r="C13" s="7" t="inlineStr">
        <is>
          <t>Кожа у жаб водопроницаемая, и в полуденный зной им грозит смерть от обезвоживания, лишь ночью они могут покинуть свои убежища.</t>
        </is>
      </c>
      <c r="D13" t="inlineStr"/>
      <c r="E13" t="inlineStr"/>
      <c r="F13" t="inlineStr"/>
    </row>
    <row r="14">
      <c r="A14" s="6" t="n">
        <v>82</v>
      </c>
      <c r="B14" s="7" t="inlineStr">
        <is>
          <t>Абас ауп ишыҟоу амариалқәагьы, урҭ рцәа аӡалымсуашәа ишыҟоугьы.</t>
        </is>
      </c>
      <c r="C14" s="7" t="inlineStr">
        <is>
          <t>Тоже относится и к скорпионам, хотя их панцирь и кажется водонепроницаемым.</t>
        </is>
      </c>
      <c r="D14" t="inlineStr"/>
      <c r="E14" t="inlineStr"/>
      <c r="F14" t="inlineStr"/>
    </row>
    <row r="15">
      <c r="A15" s="6" t="n">
        <v>83</v>
      </c>
      <c r="B15" s="7" t="inlineStr">
        <is>
          <t>Ара, ишыҟаҵәҟьоу усоуп. Аԥстәқәа уахынлоуп ианцәырҵуа аҟнытә уахынлоуп асакарақәа рҿы иҟоу аԥстәқәа рыԥсҭазаара абеиара убаратәы, ахә ушьаратәы ианыҟоугьы.</t>
        </is>
      </c>
      <c r="C15" s="7" t="inlineStr">
        <is>
          <t>На самом деле, большинство обитающих здесь животных ведёт ночной образ жизни, поэтомутолько ночью можно по-настоящему оценить богатство животного мира пустыни.</t>
        </is>
      </c>
      <c r="D15" t="inlineStr"/>
      <c r="E15" t="inlineStr"/>
      <c r="F15" t="inlineStr"/>
    </row>
    <row r="16">
      <c r="A16" s="6" t="n">
        <v>84</v>
      </c>
      <c r="B16" s="7" t="inlineStr">
        <is>
          <t>Аха аԥстәқәа ирцәыӡуа аӡы акала ихаҭәаауазароуп, Ари ауп уадаҩрас иҟоугьы, асакарақәа ирықәу зегьы рзы.</t>
        </is>
      </c>
      <c r="C16" s="7" t="inlineStr">
        <is>
          <t>Но потеря влаги даже ночью должна каким-то образом восполняться, и это - главная проблема в жизни всех обитателей пустынь.</t>
        </is>
      </c>
      <c r="D16" t="inlineStr"/>
      <c r="E16" t="inlineStr"/>
      <c r="F16" t="inlineStr"/>
    </row>
    <row r="17">
      <c r="A17" s="6" t="n">
        <v>85</v>
      </c>
      <c r="B17" s="7" t="inlineStr">
        <is>
          <t>Атакама – чилиатәи сакароуп – адунеи аҿы иааҟоу асакарақәа зегь раасҭа аӡы згу, аарҩара ахьыҟоу.</t>
        </is>
      </c>
      <c r="C17" s="7" t="inlineStr">
        <is>
          <t>Атакама - чилийская пустыня - самая сухая пустыня в мире.</t>
        </is>
      </c>
      <c r="D17" t="inlineStr"/>
      <c r="E17" t="inlineStr"/>
      <c r="F17" t="inlineStr"/>
    </row>
    <row r="18">
      <c r="A18" s="6" t="n">
        <v>86</v>
      </c>
      <c r="B18" s="7" t="inlineStr">
        <is>
          <t>Ара ҭыԥқәак 50 шықәса қәа рымбаӡац.</t>
        </is>
      </c>
      <c r="C18" s="7" t="inlineStr">
        <is>
          <t>В некоторых её областях дождей не бывает по 50 лет,</t>
        </is>
      </c>
      <c r="D18" t="inlineStr"/>
      <c r="E18" t="inlineStr"/>
      <c r="F18" t="inlineStr"/>
    </row>
    <row r="19">
      <c r="A19" s="6" t="n">
        <v>87</v>
      </c>
      <c r="B19" s="7" t="inlineStr">
        <is>
          <t>Ари удыруа, ара иԥсҭазаарадоу аԥслымӡқәа роуп иҟоу ҳәа агәаанагара уоууеит Аха уи ус акәым.</t>
        </is>
      </c>
      <c r="C19" s="7" t="inlineStr">
        <is>
          <t>и, зная об этом, ожидаешь увидеть безжизненные пески. Но это не так.</t>
        </is>
      </c>
      <c r="D19" t="inlineStr"/>
      <c r="E19" t="inlineStr"/>
      <c r="F19" t="inlineStr"/>
    </row>
    <row r="20">
      <c r="A20" s="6" t="n">
        <v>88</v>
      </c>
      <c r="B20" s="7" t="inlineStr">
        <is>
          <t>Гәанако захьӡу Аладамерикатәи џьыҟә змам амахҽқәа</t>
        </is>
      </c>
      <c r="C20" s="7" t="inlineStr">
        <is>
          <t>Южноамериканские безгорбые верблюды гуанако.</t>
        </is>
      </c>
      <c r="D20" t="inlineStr"/>
      <c r="E20" t="inlineStr"/>
      <c r="F20" t="inlineStr"/>
    </row>
    <row r="21">
      <c r="A21" s="6" t="n">
        <v>89</v>
      </c>
      <c r="B21" s="7" t="inlineStr">
        <is>
          <t>Урҭ рорганизм аҿы аӡы нымхкәа, аҵәахра иақәшәоит, Аха убри аангьы, аӡы адгаланы иамазароуп есқьынгьы.</t>
        </is>
      </c>
      <c r="C21" s="7" t="inlineStr">
        <is>
          <t>Они умеют сохранять влагу в организме, и всё же им необходим постоянный запас воды.</t>
        </is>
      </c>
      <c r="D21" t="inlineStr"/>
      <c r="E21" t="inlineStr"/>
      <c r="F21" t="inlineStr"/>
    </row>
    <row r="22">
      <c r="A22" s="6" t="n">
        <v>90</v>
      </c>
      <c r="B22" s="7" t="inlineStr">
        <is>
          <t>Гәанако ҳәы изышьҭоу амахҽқәа аӡы акактусқәа ирылырхуеит.</t>
        </is>
      </c>
      <c r="C22" s="7" t="inlineStr">
        <is>
          <t>Гуанако извлекают воду из цветов кактусов,</t>
        </is>
      </c>
      <c r="D22" t="inlineStr"/>
      <c r="E22" t="inlineStr"/>
      <c r="F22" t="inlineStr"/>
    </row>
    <row r="23">
      <c r="A23" s="6" t="n">
        <v>91</v>
      </c>
      <c r="B23" s="7" t="inlineStr">
        <is>
          <t>Аха ара азҵаара узцәырҵуеит: дара акактусқәа қәада рыԥсы злаҭои?</t>
        </is>
      </c>
      <c r="C23" s="7" t="inlineStr">
        <is>
          <t>но такое объяснение вызывает другой вопрос, а как же кактусы выживают без дождей?</t>
        </is>
      </c>
      <c r="D23" t="inlineStr"/>
      <c r="E23" t="inlineStr"/>
      <c r="F23" t="inlineStr"/>
    </row>
    <row r="24">
      <c r="A24" s="6" t="n">
        <v>92</v>
      </c>
      <c r="B24" s="7" t="inlineStr">
        <is>
          <t>Аԥша цақәа асакарақәа аӡы рылрыцәцәаауеит аҵыхәанӡа.</t>
        </is>
      </c>
      <c r="C24" s="7" t="inlineStr">
        <is>
          <t>Горячие ветры полностью высушивают поверхность пустыни.</t>
        </is>
      </c>
      <c r="D24" t="inlineStr"/>
      <c r="E24" t="inlineStr"/>
      <c r="F24" t="inlineStr"/>
    </row>
    <row r="25">
      <c r="A25" s="6" t="n">
        <v>93</v>
      </c>
      <c r="B25" s="7" t="inlineStr">
        <is>
          <t>Аха ара ақәа зыԥсахуа ак ыҟазар алшоит.</t>
        </is>
      </c>
      <c r="C25" s="7" t="inlineStr">
        <is>
          <t>Вероятно, здесь есть ещё что-то, что заменяет дождь.</t>
        </is>
      </c>
      <c r="D25" t="inlineStr"/>
      <c r="E25" t="inlineStr"/>
      <c r="F25" t="inlineStr"/>
    </row>
    <row r="26">
      <c r="A26" s="6" t="n">
        <v>94</v>
      </c>
      <c r="B26" s="7" t="inlineStr">
        <is>
          <t>Амаӡа – адгьыл иацтәараны (параллельно) ицо амшынмҩасра хьшәашәаҿы иҵәахуп.</t>
        </is>
      </c>
      <c r="C26" s="7" t="inlineStr">
        <is>
          <t>секрет в холодном морском течении, которое проходит параллельно суше.</t>
        </is>
      </c>
      <c r="D26" t="inlineStr"/>
      <c r="E26" t="inlineStr"/>
      <c r="F26" t="inlineStr"/>
    </row>
    <row r="27">
      <c r="A27" s="6" t="n">
        <v>95</v>
      </c>
      <c r="B27" s="7" t="inlineStr">
        <is>
          <t>Гумбольдт иӡымҩасра.</t>
        </is>
      </c>
      <c r="C27" s="7" t="inlineStr">
        <is>
          <t>Течении Гумбольдта.</t>
        </is>
      </c>
      <c r="D27" t="inlineStr"/>
      <c r="E27" t="inlineStr"/>
      <c r="F27" t="inlineStr"/>
    </row>
    <row r="28">
      <c r="A28" s="6" t="n">
        <v>96</v>
      </c>
      <c r="B28" s="7" t="inlineStr">
        <is>
          <t>Ицәааку аҳауа ԥха аокеан ахыхь ихьшәашәоит, анаҩс анаҟә ахылҵуеит.</t>
        </is>
      </c>
      <c r="C28" s="7" t="inlineStr">
        <is>
          <t>Влажный тёплый воздух над океаном охлаждается, и в результате образуется туман.</t>
        </is>
      </c>
      <c r="D28" t="inlineStr"/>
      <c r="E28" t="inlineStr"/>
      <c r="F28" t="inlineStr"/>
    </row>
    <row r="29">
      <c r="A29" s="6" t="n">
        <v>97</v>
      </c>
      <c r="B29" s="7" t="inlineStr">
        <is>
          <t>Амшын аҟнытә иасуа аԥша, анаҟә амшын иахыганы адқәа рышҟа ихараны иагоит.</t>
        </is>
      </c>
      <c r="C29" s="7" t="inlineStr">
        <is>
          <t>Ветер, дующий с моря, сносит туман вглубь суши.</t>
        </is>
      </c>
      <c r="D29" t="inlineStr"/>
      <c r="E29" t="inlineStr"/>
      <c r="F29" t="inlineStr"/>
    </row>
    <row r="30">
      <c r="A30" s="6" t="n">
        <v>98</v>
      </c>
      <c r="B30" s="7" t="inlineStr">
        <is>
          <t>Хара имгакәа акактусқәа ӡаӡа цәыкәбарла ихҟьахоит.</t>
        </is>
      </c>
      <c r="C30" s="7" t="inlineStr">
        <is>
          <t>И очень скоро кактусы покрываются капельками росы.</t>
        </is>
      </c>
      <c r="D30" t="inlineStr"/>
      <c r="E30" t="inlineStr"/>
      <c r="F30" t="inlineStr"/>
    </row>
    <row r="31">
      <c r="A31" s="6" t="n">
        <v>99</v>
      </c>
      <c r="B31" s="7" t="inlineStr">
        <is>
          <t>Анаҟә иааԥмырҟьаӡакәа иахьышьақәгыло иабзоураны акактусқәа ахәы рықәиааиуеит (ихәтәуеит), урҭ аӡы бзиа ирбоит азы шәымгьарҵас (губка)аӡы алрыцәцәаауеит.</t>
        </is>
      </c>
      <c r="C31" s="7" t="inlineStr">
        <is>
          <t>Туман образуется настолько регулярно, что на кактусах образуются влаголюбивые лишайники, они поглощают влагу как губки.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132</v>
      </c>
      <c r="B2" s="7" t="inlineStr">
        <is>
          <t>Адунеи аҿы зегь раасҭа иҭбаау аӡиақәа зегьы - Викториа, Ниагара, Игәуасу А ӡиасқәа амшын иахьалало ауп иахьыҟоу.</t>
        </is>
      </c>
      <c r="C2" s="7" t="inlineStr">
        <is>
          <t>Все самые широкие водопады мира: виктория, Ниагара и Игуасу располагаются в низовьях рек.</t>
        </is>
      </c>
      <c r="D2" t="inlineStr"/>
      <c r="E2" t="inlineStr"/>
      <c r="F2" t="inlineStr"/>
    </row>
    <row r="3">
      <c r="A3" s="6" t="n">
        <v>133</v>
      </c>
      <c r="B3" s="7" t="inlineStr">
        <is>
          <t>Рымҩа ахыркәшарахь ианнеи нахыс, аӡиасқәа хыҵны, адәқәа ирықәланы рҿынархоит, икараԥсараха.</t>
        </is>
      </c>
      <c r="C3" s="7" t="inlineStr">
        <is>
          <t>На последнем этапе своего пути реки разливаются и устало текут по заливным лугам.</t>
        </is>
      </c>
      <c r="D3" t="inlineStr"/>
      <c r="E3" t="inlineStr"/>
      <c r="F3" t="inlineStr"/>
    </row>
    <row r="4">
      <c r="A4" s="6" t="n">
        <v>134</v>
      </c>
      <c r="B4" s="7" t="inlineStr">
        <is>
          <t>Есышықәса, ақәоурақәа ианрылагалак, Бразилиа аӡиас Парана аҳәаақәа ирҭыҵуеит, ихыҵны, Англиа иаҵанакуа аҭыԥ иаҟараны адәқәа ирхыҵәоит.</t>
        </is>
      </c>
      <c r="C4" s="7" t="inlineStr">
        <is>
          <t>Ежегодно в сезон дождей в Бразилии река Парана выходит из берегов и затапливаеттерриторию равную по площади Англии.</t>
        </is>
      </c>
      <c r="D4" t="inlineStr"/>
      <c r="E4" t="inlineStr"/>
      <c r="F4" t="inlineStr"/>
    </row>
    <row r="5">
      <c r="A5" s="6" t="n">
        <v>135</v>
      </c>
      <c r="B5" s="7" t="inlineStr">
        <is>
          <t>Ари Пантанау захьӡу, адунеи аҿы зегь реиҳа зымҽхазкуа ӡбаарруоуп.</t>
        </is>
      </c>
      <c r="C5" s="7" t="inlineStr">
        <is>
          <t>Это - Пантанал - самые обширные болота в мире.</t>
        </is>
      </c>
      <c r="D5" t="inlineStr"/>
      <c r="E5" t="inlineStr"/>
      <c r="F5" t="inlineStr"/>
    </row>
    <row r="6">
      <c r="A6" s="6" t="n">
        <v>136</v>
      </c>
      <c r="B6" s="7" t="inlineStr">
        <is>
          <t>Ашьшьыҳәа илеиуа аӡқәа рҿы аӡҵиаақәа ирызҳауеит, Викториа Реиге захьӡу аӡышәҭ, Ари абыяьқәа рыҭбаара ҩ-метрак рҟынӡа ыҟоуп.</t>
        </is>
      </c>
      <c r="C6" s="7" t="inlineStr">
        <is>
          <t>В этих медленнотекущих водах процветают водные растения, такие как гигантская кувшинка виктория Реггия, листья её достигают двух метров в диаметре.</t>
        </is>
      </c>
      <c r="D6" t="inlineStr"/>
      <c r="E6" t="inlineStr"/>
      <c r="F6" t="inlineStr"/>
    </row>
    <row r="7">
      <c r="A7" s="6" t="n">
        <v>137</v>
      </c>
      <c r="B7" s="7" t="inlineStr">
        <is>
          <t>Арҭ аӡаҵаҟатәи абнақәа, хыԥхьаӡара рацәала, аԥсыӡқәа ахьыҿио ҭыԥуп.</t>
        </is>
      </c>
      <c r="C7" s="7" t="inlineStr">
        <is>
          <t>Эти подводные леса служат местом размножения многочисленных рыб.</t>
        </is>
      </c>
      <c r="D7" t="inlineStr"/>
      <c r="E7" t="inlineStr"/>
      <c r="F7" t="inlineStr"/>
    </row>
    <row r="8">
      <c r="A8" s="6" t="n">
        <v>138</v>
      </c>
      <c r="B8" s="7" t="inlineStr">
        <is>
          <t>Ара хышә инарзынаԥшуа ԥсыӡхкы ҭоуп, Агәыҵаҟаԥшь пирании налаҵаны.</t>
        </is>
      </c>
      <c r="C8" s="7" t="inlineStr">
        <is>
          <t>Здесь обитает более 300 видов рыб, включая краснобрюхих пираний.</t>
        </is>
      </c>
      <c r="D8" t="inlineStr"/>
      <c r="E8" t="inlineStr"/>
      <c r="F8" t="inlineStr"/>
    </row>
    <row r="9">
      <c r="A9" s="6" t="n">
        <v>139</v>
      </c>
      <c r="B9" s="7" t="inlineStr">
        <is>
          <t>Иҟоуп егьырҭ агыгшәыг-ԥсыӡқәа, иаҳҳәап, агәылшьап-каиман.</t>
        </is>
      </c>
      <c r="C9" s="7" t="inlineStr">
        <is>
          <t>Есть и другие хищники, например, крокодиловый кайман.</t>
        </is>
      </c>
      <c r="D9" t="inlineStr"/>
      <c r="E9" t="inlineStr"/>
      <c r="F9" t="inlineStr"/>
    </row>
    <row r="10">
      <c r="A10" s="6" t="n">
        <v>140</v>
      </c>
      <c r="B10" s="7" t="inlineStr">
        <is>
          <t>Алаҳа аныҟала иныҿшәаны аӡы иҭаҳауеит, ари амла иакуа аԥсыӡ фатәыс ирымоуп.</t>
        </is>
      </c>
      <c r="C10" s="7" t="inlineStr">
        <is>
          <t>спелые фиги, которые падают в воду, служат пищей стаям голодных рыб.</t>
        </is>
      </c>
      <c r="D10" t="inlineStr"/>
      <c r="E10" t="inlineStr"/>
      <c r="F10" t="inlineStr"/>
    </row>
    <row r="11">
      <c r="A11" s="6" t="n">
        <v>141</v>
      </c>
      <c r="B11" s="7" t="inlineStr">
        <is>
          <t>Ари абжьы арахь иаанагоит, дорадо захьӡу аԥсыӡ.</t>
        </is>
      </c>
      <c r="C11" s="7" t="inlineStr">
        <is>
          <t>Этот шум привлекает рыбу дорадо, которую местные рыбаки называют речным тигром.</t>
        </is>
      </c>
      <c r="D11" t="inlineStr"/>
      <c r="E11" t="inlineStr"/>
      <c r="F11" t="inlineStr"/>
    </row>
    <row r="12">
      <c r="A12" s="6" t="n">
        <v>142</v>
      </c>
      <c r="B12" s="7" t="inlineStr">
        <is>
          <t>Аҭыԥантәи аԥсыӡкҩцәа аӡиас бжьас ҳәа иашьҭоуп.</t>
        </is>
      </c>
      <c r="C12" s="7" t="inlineStr">
        <is>
          <t>Дорадо патрулирует стаи рыб,</t>
        </is>
      </c>
      <c r="D12" t="inlineStr"/>
      <c r="E12" t="inlineStr"/>
      <c r="F12" t="inlineStr"/>
    </row>
    <row r="13">
      <c r="A13" s="6" t="n">
        <v>143</v>
      </c>
      <c r="B13" s="7" t="inlineStr">
        <is>
          <t>Дорадо - аԥсыӡ ҳәыԥкны иахьабаз иԥшыхәуеит, Иманшәалахар, ирыжәларазы.</t>
        </is>
      </c>
      <c r="C13" s="7" t="inlineStr">
        <is>
          <t>выжидая удобный момент для атаки.</t>
        </is>
      </c>
      <c r="D13" t="inlineStr"/>
      <c r="E13" t="inlineStr"/>
      <c r="F13" t="inlineStr"/>
    </row>
    <row r="14">
      <c r="A14" s="6" t="n">
        <v>144</v>
      </c>
      <c r="B14" s="7" t="inlineStr">
        <is>
          <t>Пираниқәагьы рызкылыԥшуеит, иара аамҭа анааи, ихәу аԥсыӡ мҵарсны ицаразы.</t>
        </is>
      </c>
      <c r="C14" s="7" t="inlineStr">
        <is>
          <t>Пираньи тоже ожидают своего часа и готовы схватить раненую рыбу.</t>
        </is>
      </c>
      <c r="D14" t="inlineStr"/>
      <c r="E14" t="inlineStr"/>
      <c r="F14" t="inlineStr"/>
    </row>
    <row r="15">
      <c r="A15" s="6" t="n">
        <v>145</v>
      </c>
      <c r="B15" s="7" t="inlineStr">
        <is>
          <t>Аишәа чара мыжда иалагеит.</t>
        </is>
      </c>
      <c r="C15" s="7" t="inlineStr">
        <is>
          <t>Начинается безумный пир.</t>
        </is>
      </c>
      <c r="D15" t="inlineStr"/>
      <c r="E15" t="inlineStr"/>
      <c r="F15" t="inlineStr"/>
    </row>
    <row r="16">
      <c r="A16" s="6" t="n">
        <v>146</v>
      </c>
      <c r="B16" s="7" t="inlineStr">
        <is>
          <t>Минуҭқәак рыла, аԥсыӡ абаҩ аҟынӡа, ихыҟаҟааны иалгоит.</t>
        </is>
      </c>
      <c r="C16" s="7" t="inlineStr">
        <is>
          <t>Пираньи могут за считанные минуты обглодать рыбу до костей.</t>
        </is>
      </c>
      <c r="D16" t="inlineStr"/>
      <c r="E16" t="inlineStr"/>
      <c r="F16" t="inlineStr"/>
    </row>
    <row r="17">
      <c r="A17" s="6" t="n">
        <v>147</v>
      </c>
      <c r="B17" s="7" t="inlineStr">
        <is>
          <t>Аԥсыӡ рацәа афаразы арахь иааиуеит аӡыԥсаатәи аӡхықәԥсаатәи ргәыԥ дуқәа.</t>
        </is>
      </c>
      <c r="C17" s="7" t="inlineStr">
        <is>
          <t>Многочисленными рыбами кормятся так же большие стаи водоплавающих и околоводных птиц.</t>
        </is>
      </c>
      <c r="D17" t="inlineStr"/>
      <c r="E17" t="inlineStr"/>
      <c r="F17" t="inlineStr"/>
    </row>
    <row r="18">
      <c r="A18" s="6" t="n">
        <v>148</v>
      </c>
      <c r="B18" s="7" t="inlineStr">
        <is>
          <t>Пантанало аӡбаара иамоу 650 ԥсаатә хкы иреиуоуп Абна шьапызаҵәқәа рааигәа ихтәалоит.</t>
        </is>
      </c>
      <c r="C18" s="7" t="inlineStr">
        <is>
          <t>Розовые колпицы - лишь один из 650 видов птиц, обитающих в болотах Пантанала.</t>
        </is>
      </c>
      <c r="D18" t="inlineStr"/>
      <c r="E18" t="inlineStr"/>
      <c r="F18" t="inlineStr"/>
    </row>
    <row r="19">
      <c r="A19" s="6" t="n">
        <v>149</v>
      </c>
      <c r="B19" s="7" t="inlineStr">
        <is>
          <t>Урҭ зқьырацәала еицу ԥсаатә гәыԥны рҽеидыркылоит.</t>
        </is>
      </c>
      <c r="C19" s="7" t="inlineStr">
        <is>
          <t>Колпицы гнездятся рядом с лесными аистами и образуют многотысячные колонии.</t>
        </is>
      </c>
      <c r="D19" t="inlineStr"/>
      <c r="E19" t="inlineStr"/>
      <c r="F19" t="inlineStr"/>
    </row>
    <row r="20">
      <c r="A20" s="6" t="n">
        <v>150</v>
      </c>
      <c r="B20" s="7" t="inlineStr">
        <is>
          <t>Агәылшьап-каиманқәа аӡаҵаҟа рыҽхәыҵакны иԥшуп, афатә ахала инеины, рсаса иҭаҳаанӡа ҳәа.</t>
        </is>
      </c>
      <c r="C20" s="7" t="inlineStr">
        <is>
          <t>Крокодиловые кайманы, притаившись под водой, ждут, пока пища сама упадёт к ним в пасть.</t>
        </is>
      </c>
      <c r="D20" t="inlineStr"/>
      <c r="E20" t="inlineStr"/>
      <c r="F20" t="inlineStr"/>
    </row>
    <row r="21">
      <c r="A21" s="6" t="n">
        <v>151</v>
      </c>
      <c r="B21" s="7" t="inlineStr">
        <is>
          <t>Аӡиасқәа амшын аҟынӡа ианынаӡалак, рныҟәашәа иагдырхоит. Иҵаатәалоу ажәпара ааныжьны адельта шьақәдыргылоит.</t>
        </is>
      </c>
      <c r="C21" s="7" t="inlineStr">
        <is>
          <t>Там, где реки, наконец, достигают моря, они замедляют свой бег, освобождаются от осадка и образуют дельты.</t>
        </is>
      </c>
      <c r="D21" t="inlineStr"/>
      <c r="E21" t="inlineStr"/>
      <c r="F21" t="inlineStr"/>
    </row>
    <row r="22">
      <c r="A22" s="6" t="n">
        <v>152</v>
      </c>
      <c r="B22" s="7" t="inlineStr">
        <is>
          <t>Бангладеш ианнеи аӡиасқәа Ганги Брахмапутреи еицыланы адунеи аҿы зегь иреиҳау аӡышьҭра аԥырҵоит.</t>
        </is>
      </c>
      <c r="C22" s="7" t="inlineStr">
        <is>
          <t>В Бангладеш реки Ганг и Брахмапутра сливаясь, образуют самую большую дельту в мире.</t>
        </is>
      </c>
      <c r="D22" t="inlineStr"/>
      <c r="E22" t="inlineStr"/>
      <c r="F22" t="inlineStr"/>
    </row>
    <row r="23">
      <c r="A23" s="6" t="n">
        <v>153</v>
      </c>
      <c r="B23" s="7" t="inlineStr">
        <is>
          <t>Есышықәса урҭ Гималаи ашьхақәа ҩ-нызықь млн тонн алышәшәатә шьақәгыларақәа рыҵыӡәӡәааны, аокеан ахь ирыманы ицоит.</t>
        </is>
      </c>
      <c r="C23" s="7" t="inlineStr">
        <is>
          <t>Каждый год они вымывают в гималаях почти 2 тысячи миллионов тонн осадочных пород и переносят их в океан.</t>
        </is>
      </c>
      <c r="D23" t="inlineStr"/>
      <c r="E23" t="inlineStr"/>
      <c r="F23" t="inlineStr"/>
    </row>
    <row r="24">
      <c r="A24" s="6" t="n">
        <v>154</v>
      </c>
      <c r="B24" s="7" t="inlineStr">
        <is>
          <t>Аӡымахәҭақәа рҿы – дельта иҟоуп адунеи аҿы зегь иреиҳау абна Сундарбан</t>
        </is>
      </c>
      <c r="C24" s="7" t="inlineStr">
        <is>
          <t>В дельте находится самый большой мангровый лес в мире - сударбан.</t>
        </is>
      </c>
      <c r="D24" t="inlineStr"/>
      <c r="E24" t="inlineStr"/>
      <c r="F24" t="inlineStr"/>
    </row>
    <row r="25">
      <c r="A25" s="6" t="n">
        <v>155</v>
      </c>
      <c r="B25" s="7" t="inlineStr">
        <is>
          <t>Арҭ абна џьашьахәқәа аӡхықәқәа рҿоуп иахьрызҳауа, аӡқәеи амшыни ахьеиԥыло аҭыԥаҿы.</t>
        </is>
      </c>
      <c r="C25" s="7" t="inlineStr">
        <is>
          <t>Эти необычные леса растут по всем тропикам в прибрежной зоне, там, где реки встречаются с морем.</t>
        </is>
      </c>
      <c r="D25" t="inlineStr"/>
      <c r="E25" t="inlineStr"/>
      <c r="F25" t="inlineStr"/>
    </row>
    <row r="26">
      <c r="A26" s="6" t="n">
        <v>156</v>
      </c>
      <c r="B26" s="7" t="inlineStr">
        <is>
          <t>Адыяаҷафаҩцәа – амакакақәа, амангра жәырҭрақәа ирылоуп.</t>
        </is>
      </c>
      <c r="C26" s="7" t="inlineStr">
        <is>
          <t>Макаки-крабоеды обитают в мангровых зарослях.</t>
        </is>
      </c>
      <c r="D26" t="inlineStr"/>
      <c r="E26" t="inlineStr"/>
      <c r="F26" t="inlineStr"/>
    </row>
    <row r="27">
      <c r="A27" s="6" t="n">
        <v>157</v>
      </c>
      <c r="B27" s="7" t="inlineStr">
        <is>
          <t>Индонезиа, иџьаушьаратәы иҟоуп,аха - арҭ амаамынқәа аӡаҵаҟа анхара иашьцылеит.</t>
        </is>
      </c>
      <c r="C27" s="7" t="inlineStr">
        <is>
          <t>В Индонезии макаки приспособились к уникальному для обезьян водному образу жизни.</t>
        </is>
      </c>
      <c r="D27" t="inlineStr"/>
      <c r="E27" t="inlineStr"/>
      <c r="F27" t="inlineStr"/>
    </row>
    <row r="28">
      <c r="A28" s="6" t="n">
        <v>158</v>
      </c>
      <c r="B28" s="7" t="inlineStr">
        <is>
          <t>Аӡаҵаҟа афатә еизыргоит.</t>
        </is>
      </c>
      <c r="C28" s="7" t="inlineStr">
        <is>
          <t>Они собирают пищу под водой.</t>
        </is>
      </c>
      <c r="D28" t="inlineStr"/>
      <c r="E28" t="inlineStr"/>
      <c r="F28" t="inlineStr"/>
    </row>
    <row r="29">
      <c r="A29" s="6" t="n">
        <v>159</v>
      </c>
      <c r="B29" s="7" t="inlineStr">
        <is>
          <t>Уи адагьы, ҽынла, аншоуроу рыҽдырхьшәашәоит</t>
        </is>
      </c>
      <c r="C29" s="7" t="inlineStr">
        <is>
          <t>Кроме того, в воде они охлаждаются во время дневной жары.</t>
        </is>
      </c>
      <c r="D29" t="inlineStr"/>
      <c r="E29" t="inlineStr"/>
      <c r="F29" t="inlineStr"/>
    </row>
    <row r="30">
      <c r="A30" s="6" t="n">
        <v>160</v>
      </c>
      <c r="B30" s="7" t="inlineStr">
        <is>
          <t>Арҭ аӡқәа, иара убас, тәамҩахә змам амаамын қәыԥшқәа рзы хәмарырҭоуп.</t>
        </is>
      </c>
      <c r="C30" s="7" t="inlineStr">
        <is>
          <t>Протоки служаттак же игровой площадкой для неугомонных молодых макак.</t>
        </is>
      </c>
      <c r="D30" t="inlineStr"/>
      <c r="E30" t="inlineStr"/>
      <c r="F30" t="inlineStr"/>
    </row>
    <row r="31">
      <c r="A31" s="6" t="n">
        <v>161</v>
      </c>
      <c r="B31" s="7" t="inlineStr">
        <is>
          <t>%ьоукы аӡаҵаҟа ибзианы аӡсашьа рҵеит.</t>
        </is>
      </c>
      <c r="C31" s="7" t="inlineStr">
        <is>
          <t>Некоторые молодые освоили подводное плавание.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№</t>
        </is>
      </c>
      <c r="B1" s="5" t="inlineStr">
        <is>
          <t>Абхазский (ab)</t>
        </is>
      </c>
      <c r="C1" s="5" t="inlineStr">
        <is>
          <t>Русский (ru)</t>
        </is>
      </c>
      <c r="D1" s="5" t="inlineStr">
        <is>
          <t>Соответствие</t>
        </is>
      </c>
      <c r="E1" s="5" t="inlineStr">
        <is>
          <t>Тип ошибки</t>
        </is>
      </c>
      <c r="F1" s="5" t="inlineStr">
        <is>
          <t>Комментарии</t>
        </is>
      </c>
    </row>
    <row r="2">
      <c r="A2" s="6" t="n">
        <v>126</v>
      </c>
      <c r="B2" s="7" t="inlineStr">
        <is>
          <t>Амшын аҩысҭаа уаххьа ымфаӡакәа мышқәак иазыԥшыр алшоит, Иақәнагоу афатә аԥыхьашәаанӡа.</t>
        </is>
      </c>
      <c r="C2" s="7" t="inlineStr">
        <is>
          <t>Морской чёрт может ждать несколько дней, пока не подвернётся ужин подходящего размера.</t>
        </is>
      </c>
      <c r="D2" t="inlineStr"/>
      <c r="E2" t="inlineStr"/>
      <c r="F2" t="inlineStr"/>
    </row>
    <row r="3">
      <c r="A3" s="6" t="n">
        <v>127</v>
      </c>
      <c r="B3" s="7" t="inlineStr">
        <is>
          <t>Аԥхаԥсжьы бзиа избо, афатә аԥшааразы акыр иныҟәароуп.</t>
        </is>
      </c>
      <c r="C3" s="7" t="inlineStr">
        <is>
          <t>Любителям падали, напротив, приходится бегать в поисках пищи.</t>
        </is>
      </c>
      <c r="D3" t="inlineStr"/>
      <c r="E3" t="inlineStr"/>
      <c r="F3" t="inlineStr"/>
    </row>
    <row r="4">
      <c r="A4" s="6" t="n">
        <v>128</v>
      </c>
      <c r="B4" s="7" t="inlineStr">
        <is>
          <t>Адыӷаҷақәа аӡы гьама ҷыдак аиур, иаразнак игәарҭоит.</t>
        </is>
      </c>
      <c r="C4" s="7" t="inlineStr">
        <is>
          <t>Крабы способны различать малейшие оттенки вкуса в воде,</t>
        </is>
      </c>
      <c r="D4" t="inlineStr"/>
      <c r="E4" t="inlineStr"/>
      <c r="F4" t="inlineStr"/>
    </row>
    <row r="5">
      <c r="A5" s="6" t="n">
        <v>129</v>
      </c>
      <c r="B5" s="7" t="inlineStr">
        <is>
          <t>Убри аҟнытә урҭ хыхьынтә илеиз аԥхаԥсжьы ҿыц иаразнак ирыԥшаауеит.</t>
        </is>
      </c>
      <c r="C5" s="7" t="inlineStr">
        <is>
          <t>это позволяет им находить самые свежие трупы, упавшие сверху.</t>
        </is>
      </c>
      <c r="D5" t="inlineStr"/>
      <c r="E5" t="inlineStr"/>
      <c r="F5" t="inlineStr"/>
    </row>
    <row r="6">
      <c r="A6" s="6" t="n">
        <v>130</v>
      </c>
      <c r="B6" s="7" t="inlineStr">
        <is>
          <t>Арҭ амаҭ ԥсыӡқәа адоурҳан ажьы ацәынхақәа афара иалагахьеит.</t>
        </is>
      </c>
      <c r="C6" s="7" t="inlineStr">
        <is>
          <t>Угри уже пожирают останки акулы.</t>
        </is>
      </c>
      <c r="D6" t="inlineStr"/>
      <c r="E6" t="inlineStr"/>
      <c r="F6" t="inlineStr"/>
    </row>
    <row r="7">
      <c r="A7" s="6" t="n">
        <v>131</v>
      </c>
      <c r="B7" s="7" t="inlineStr">
        <is>
          <t>адыӷаҷа еиҟарашьапқәа, 30 см иҟоу, аилабаара иаҿу адоурҳан жьы рыцқәа наладырԥеит.</t>
        </is>
      </c>
      <c r="C7" s="7" t="inlineStr">
        <is>
          <t>Изоподы, равноногие рачки, похожие на гигантских мокриц, длиной 30 сантиметров, вгрызаются в гниющее мясо акулы.</t>
        </is>
      </c>
      <c r="D7" t="inlineStr"/>
      <c r="E7" t="inlineStr"/>
      <c r="F7" t="inlineStr"/>
    </row>
    <row r="8">
      <c r="A8" s="6" t="n">
        <v>132</v>
      </c>
      <c r="B8" s="7" t="inlineStr">
        <is>
          <t>Сааҭқәак рыҩныҵҟа аԥсхаԥсжьыфаҩцәа дасу рыхәҭаазы хацәнмырха иқәԥоит.</t>
        </is>
      </c>
      <c r="C8" s="7" t="inlineStr">
        <is>
          <t>В ближайшие несколько часов многочисленные падальщики будут вести ожесточённую борьбу за свою долю добычи.</t>
        </is>
      </c>
      <c r="D8" t="inlineStr"/>
      <c r="E8" t="inlineStr"/>
      <c r="F8" t="inlineStr"/>
    </row>
    <row r="9">
      <c r="A9" s="6" t="n">
        <v>133</v>
      </c>
      <c r="B9" s="7" t="inlineStr">
        <is>
          <t>Усоуп, аӡаҵаҿы зны-зынла ачара ду анеилашуа ҟалалоит.</t>
        </is>
      </c>
      <c r="C9" s="7" t="inlineStr">
        <is>
          <t>Да, изредка на дне бывает гигантский пир.</t>
        </is>
      </c>
      <c r="D9" t="inlineStr"/>
      <c r="E9" t="inlineStr"/>
      <c r="F9" t="inlineStr"/>
    </row>
    <row r="10">
      <c r="A10" s="6" t="n">
        <v>134</v>
      </c>
      <c r="B10" s="7" t="inlineStr">
        <is>
          <t>Абас ауп ишымҩаԥыуа иара, ирццакны уахәаԥшуазар.</t>
        </is>
      </c>
      <c r="C10" s="7" t="inlineStr">
        <is>
          <t>Воттак, если быстро посмотреть на то, что произошло.</t>
        </is>
      </c>
      <c r="D10" t="inlineStr"/>
      <c r="E10" t="inlineStr"/>
      <c r="F10" t="inlineStr"/>
    </row>
    <row r="11">
      <c r="A11" s="6" t="n">
        <v>135</v>
      </c>
      <c r="B11" s="7" t="inlineStr">
        <is>
          <t>Аха афатә акыраамҭа ианрызхогьы ҟалалоит.</t>
        </is>
      </c>
      <c r="C11" s="7" t="inlineStr">
        <is>
          <t>Но иногда пищи хватает надолго.</t>
        </is>
      </c>
      <c r="D11" t="inlineStr"/>
      <c r="E11" t="inlineStr"/>
      <c r="F11" t="inlineStr"/>
    </row>
    <row r="12">
      <c r="A12" s="6" t="n">
        <v>136</v>
      </c>
      <c r="B12" s="7" t="inlineStr">
        <is>
          <t>Ара агәылшьап абаҩ шьҭоуп. Уи ԥсиижьҭеи хәымыз раҟара ҵуеит.</t>
        </is>
      </c>
      <c r="C12" s="7" t="inlineStr">
        <is>
          <t>Здесь залегли останки кашалота. Он погиб около пяти месяцев назад,</t>
        </is>
      </c>
      <c r="D12" t="inlineStr"/>
      <c r="E12" t="inlineStr"/>
      <c r="F12" t="inlineStr"/>
    </row>
    <row r="13">
      <c r="A13" s="6" t="n">
        <v>137</v>
      </c>
      <c r="B13" s="7" t="inlineStr">
        <is>
          <t>Иацәынханы иҟоугьы шшақәак ақәуп, аха абаҩмацароуп.</t>
        </is>
      </c>
      <c r="C13" s="7" t="inlineStr">
        <is>
          <t>от него остался лишь скелет с остатками жира.</t>
        </is>
      </c>
      <c r="D13" t="inlineStr"/>
      <c r="E13" t="inlineStr"/>
      <c r="F13" t="inlineStr"/>
    </row>
    <row r="14">
      <c r="A14" s="6" t="n">
        <v>138</v>
      </c>
      <c r="B14" s="7" t="inlineStr">
        <is>
          <t>Иара акәша-мыкәша акыр километрақәак ахьыбжьазгьы уи ажьы аӡәырҩы рхаланыҟәыргон, Уажәы ачара еилгеит.</t>
        </is>
      </c>
      <c r="C14" s="7" t="inlineStr">
        <is>
          <t>На многие километры вокруг его мясо было надёжным источником пищи, а сейчас пир почти закончен.</t>
        </is>
      </c>
      <c r="D14" t="inlineStr"/>
      <c r="E14" t="inlineStr"/>
      <c r="F14" t="inlineStr"/>
    </row>
    <row r="15">
      <c r="A15" s="6" t="n">
        <v>139</v>
      </c>
      <c r="B15" s="7" t="inlineStr">
        <is>
          <t>Адыӷаҷа дуӡӡақәа, метрак аҟара иҭбаауп, Ашша ацәынхақәак амрыкәкәаауеит.</t>
        </is>
      </c>
      <c r="C15" s="7" t="inlineStr">
        <is>
          <t>Громадные крабы, около метра в диаметре, отщипывают последние кусочки жира.</t>
        </is>
      </c>
      <c r="D15" t="inlineStr"/>
      <c r="E15" t="inlineStr"/>
      <c r="F15" t="inlineStr"/>
    </row>
    <row r="16">
      <c r="A16" s="6" t="n">
        <v>140</v>
      </c>
      <c r="B16" s="7" t="inlineStr">
        <is>
          <t>Даҽа мышқәак рышьҭахь уи абаҩ мацара аанхараны иҟоуп.</t>
        </is>
      </c>
      <c r="C16" s="7" t="inlineStr">
        <is>
          <t>Ещё через несколько дней от него останется только голый скелет.</t>
        </is>
      </c>
      <c r="D16" t="inlineStr"/>
      <c r="E16" t="inlineStr"/>
      <c r="F16" t="inlineStr"/>
    </row>
    <row r="17">
      <c r="A17" s="6" t="n">
        <v>141</v>
      </c>
      <c r="B17" s="7" t="inlineStr">
        <is>
          <t>Адыӷаҷақәа млашьлароуп хыхьынтә даҽа ԥсхаԥсжьык леиаанӡа.</t>
        </is>
      </c>
      <c r="C17" s="7" t="inlineStr">
        <is>
          <t>И крабам придётся голодать до тех пор, пока сверху не упадёт очередной труп.</t>
        </is>
      </c>
      <c r="D17" t="inlineStr"/>
      <c r="E17" t="inlineStr"/>
      <c r="F17" t="inlineStr"/>
    </row>
    <row r="18">
      <c r="A18" s="6" t="n">
        <v>142</v>
      </c>
      <c r="B18" s="7" t="inlineStr">
        <is>
          <t>Аха арахь хыхьынтә уамак афатә зааиӡом.</t>
        </is>
      </c>
      <c r="C18" s="7" t="inlineStr">
        <is>
          <t>Но далеко не вся пища попадает сюда из залитого светом верхнего мира.</t>
        </is>
      </c>
      <c r="D18" t="inlineStr"/>
      <c r="E18" t="inlineStr"/>
      <c r="F18" t="inlineStr"/>
    </row>
    <row r="19">
      <c r="A19" s="6" t="n">
        <v>143</v>
      </c>
      <c r="B19" s="7" t="inlineStr">
        <is>
          <t>Атлантикатәи аокеан ҩбаны ишоуп авулкан шьхеибаркырала.</t>
        </is>
      </c>
      <c r="C19" s="7" t="inlineStr">
        <is>
          <t>Дно Атлантического океана разделено надвое огромным вулканическим хребтом.</t>
        </is>
      </c>
      <c r="D19" t="inlineStr"/>
      <c r="E19" t="inlineStr"/>
      <c r="F19" t="inlineStr"/>
    </row>
    <row r="20">
      <c r="A20" s="6" t="n">
        <v>144</v>
      </c>
      <c r="B20" s="7" t="inlineStr">
        <is>
          <t>Уи адгьыл зегьы 70 нызықь км рҟынӡа иаакәыршаны игылоуп.</t>
        </is>
      </c>
      <c r="C20" s="7" t="inlineStr">
        <is>
          <t>Он протянулся вокруг земного шара на 70 тысяч километров.</t>
        </is>
      </c>
      <c r="D20" t="inlineStr"/>
      <c r="E20" t="inlineStr"/>
      <c r="F20" t="inlineStr"/>
    </row>
    <row r="21">
      <c r="A21" s="6" t="n">
        <v>145</v>
      </c>
      <c r="B21" s="7" t="inlineStr">
        <is>
          <t>Ашьхеибаркыра џьара-џьара аиҟәыршьшьарҭа дуӡӡақәа амоуп. Урҭ рахьынтә иҭҟьо аӡыршы иҵааршәыроу аӡаҵақәа рышҟа аминералқәа ырӡыҭны иаманы иаауеит.</t>
        </is>
      </c>
      <c r="C21" s="7" t="inlineStr">
        <is>
          <t>Кое-где хребет прорезают огромные трещины, из них в ледяные глубины вырывается горячая вода с растворёнными в ней минералами.</t>
        </is>
      </c>
      <c r="D21" t="inlineStr"/>
      <c r="E21" t="inlineStr"/>
      <c r="F21" t="inlineStr"/>
    </row>
    <row r="22">
      <c r="A22" s="6" t="n">
        <v>146</v>
      </c>
      <c r="B22" s="7" t="inlineStr">
        <is>
          <t>Атыҩша хылҩа-ԥсылҩа аншәлак, атрубақәа шьақәдыргылоит х-еихагылак змоу аҩны иаҟараны.</t>
        </is>
      </c>
      <c r="C22" s="7" t="inlineStr">
        <is>
          <t>серные испарения отвердевают и образуюттрубы высотой с трёхэтажный дом.</t>
        </is>
      </c>
      <c r="D22" t="inlineStr"/>
      <c r="E22" t="inlineStr"/>
      <c r="F22" t="inlineStr"/>
    </row>
    <row r="23">
      <c r="A23" s="6" t="n">
        <v>147</v>
      </c>
      <c r="B23" s="7" t="inlineStr">
        <is>
          <t>Ахимикатқәа рыла шьақәгылоу, Ԥшьышә градус рҟынӡа ицаҳә-цаҳәуа ишу аилаӡҩа, шәарҭоуп аԥсҭазаара аформақәа реиҳарак рзы.</t>
        </is>
      </c>
      <c r="C23" s="7" t="inlineStr">
        <is>
          <t>Этот обжигающий коктейль из химикатов, нагретый до четырёхсот градусов, смертелен для большинства форм жизни.</t>
        </is>
      </c>
      <c r="D23" t="inlineStr"/>
      <c r="E23" t="inlineStr"/>
      <c r="F23" t="inlineStr"/>
    </row>
    <row r="24">
      <c r="A24" s="6" t="n">
        <v>148</v>
      </c>
      <c r="B24" s="7" t="inlineStr">
        <is>
          <t>Аха, иџьаушьаша, ара иҷыдоу бактериа хкык ыҟоуп.</t>
        </is>
      </c>
      <c r="C24" s="7" t="inlineStr">
        <is>
          <t>Но, как ни странно, здесь обитает особый вид бактерий.</t>
        </is>
      </c>
      <c r="D24" t="inlineStr"/>
      <c r="E24" t="inlineStr"/>
      <c r="F24" t="inlineStr"/>
    </row>
    <row r="25">
      <c r="A25" s="6" t="n">
        <v>149</v>
      </c>
      <c r="B25" s="7" t="inlineStr">
        <is>
          <t>Арҭ абактериақәа хыԥхьаӡара рацәала акреветкақәа фатәыс ирымоуп.</t>
        </is>
      </c>
      <c r="C25" s="7" t="inlineStr">
        <is>
          <t>А этими бактериями питается огромное количество креветок.</t>
        </is>
      </c>
      <c r="D25" t="inlineStr"/>
      <c r="E25" t="inlineStr"/>
      <c r="F25" t="inlineStr"/>
    </row>
    <row r="26">
      <c r="A26" s="6" t="n">
        <v>150</v>
      </c>
      <c r="B26" s="7" t="inlineStr">
        <is>
          <t>Абасала, мра шәахәацк ахьзымнеиуа аҭыԥаҿы уи мрада зыԥсы ҭоу абиоценоз.</t>
        </is>
      </c>
      <c r="C26" s="7" t="inlineStr">
        <is>
          <t>Таким образом, там, куда не проникает ни один луч солнца, существует независимый биоценоз,</t>
        </is>
      </c>
      <c r="D26" t="inlineStr"/>
      <c r="E26" t="inlineStr"/>
      <c r="F26" t="inlineStr"/>
    </row>
    <row r="27">
      <c r="A27" s="6" t="n">
        <v>151</v>
      </c>
      <c r="B27" s="7" t="inlineStr">
        <is>
          <t>Уи аԥсҭазарамчы ицаҳә-цаҳәуа ишу адгьыл шьақәгыларақәа ирылырхуеит.</t>
        </is>
      </c>
      <c r="C27" s="7" t="inlineStr">
        <is>
          <t>он черпает жизненную энергию прямо из раскалённых недр земли.</t>
        </is>
      </c>
      <c r="D27" t="inlineStr"/>
      <c r="E27" t="inlineStr"/>
      <c r="F27" t="inlineStr"/>
    </row>
    <row r="28">
      <c r="A28" s="6" t="n">
        <v>152</v>
      </c>
      <c r="B28" s="7" t="inlineStr">
        <is>
          <t>Абри акыр иеиԥшуп адгьыл егьи аҵыхәан,</t>
        </is>
      </c>
      <c r="C28" s="7" t="inlineStr">
        <is>
          <t>Нечто подобное есть и на другом конце земного шара.</t>
        </is>
      </c>
      <c r="D28" t="inlineStr"/>
      <c r="E28" t="inlineStr"/>
      <c r="F28" t="inlineStr"/>
    </row>
    <row r="29">
      <c r="A29" s="6" t="n">
        <v>153</v>
      </c>
      <c r="B29" s="7" t="inlineStr">
        <is>
          <t>Аокеан ҭынч Иапониа ахьыҿныӡәӡәаауа аҭыԥаҿы иҟоу ацәырҵра..</t>
        </is>
      </c>
      <c r="C29" s="7" t="inlineStr">
        <is>
          <t>Там, где Тихий океан омывает японию.</t>
        </is>
      </c>
      <c r="D29" t="inlineStr"/>
      <c r="E29" t="inlineStr"/>
      <c r="F29" t="inlineStr"/>
    </row>
    <row r="30">
      <c r="A30" s="6" t="n">
        <v>154</v>
      </c>
      <c r="B30" s="7" t="inlineStr">
        <is>
          <t>“Агәылшьап трубақәа”-</t>
        </is>
      </c>
      <c r="C30" s="7" t="inlineStr">
        <is>
          <t>"Драконовы трубы"</t>
        </is>
      </c>
      <c r="D30" t="inlineStr"/>
      <c r="E30" t="inlineStr"/>
      <c r="F30" t="inlineStr"/>
    </row>
    <row r="31">
      <c r="A31" s="6" t="n">
        <v>155</v>
      </c>
      <c r="B31" s="7" t="inlineStr">
        <is>
          <t>Араҟагьы, аӡаҵаҟатәи аӡыԥхатә ҭаҳарақәа рҟынтә иҭырҩны . Алашьцара иалаҭәо аӡыршы.</t>
        </is>
      </c>
      <c r="C31" s="7" t="inlineStr">
        <is>
          <t>- это ещё один ряд подводных гидротермальных кратеров, извергающихся в темноте глубин.</t>
        </is>
      </c>
      <c r="D31" t="inlineStr"/>
      <c r="E31" t="inlineStr"/>
      <c r="F31" t="inlineStr"/>
    </row>
  </sheetData>
  <dataValidations count="2">
    <dataValidation sqref="D2:D31" showDropDown="0" showInputMessage="0" showErrorMessage="0" allowBlank="1" type="list">
      <formula1>"Верно,Частично,Неверно"</formula1>
    </dataValidation>
    <dataValidation sqref="E2:E31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1" t="inlineStr">
        <is>
          <t>Точность выравнивания (Opus) — вычисляется автоматически</t>
        </is>
      </c>
    </row>
    <row r="3">
      <c r="A3" s="12" t="inlineStr">
        <is>
          <t>Серия</t>
        </is>
      </c>
      <c r="B3" s="12" t="inlineStr">
        <is>
          <t>Всего</t>
        </is>
      </c>
      <c r="C3" s="12" t="inlineStr">
        <is>
          <t>Оценено</t>
        </is>
      </c>
      <c r="D3" s="12" t="inlineStr">
        <is>
          <t>Верно</t>
        </is>
      </c>
      <c r="E3" s="12" t="inlineStr">
        <is>
          <t>Частично</t>
        </is>
      </c>
      <c r="F3" s="12" t="inlineStr">
        <is>
          <t>Неверно</t>
        </is>
      </c>
      <c r="G3" s="12" t="inlineStr">
        <is>
          <t>Точность</t>
        </is>
      </c>
      <c r="H3" s="12" t="inlineStr">
        <is>
          <t>Мягкая оценка</t>
        </is>
      </c>
    </row>
    <row r="4">
      <c r="A4" t="inlineStr">
        <is>
          <t>ВВС 1</t>
        </is>
      </c>
      <c r="B4">
        <f>COUNTA('ВВС 1'!A2:A100000)</f>
        <v/>
      </c>
      <c r="C4">
        <f>COUNTIF('ВВС 1'!D2:D100000,"&lt;&gt;")</f>
        <v/>
      </c>
      <c r="D4">
        <f>COUNTIF('ВВС 1'!D2:D100000,"Верно")</f>
        <v/>
      </c>
      <c r="E4">
        <f>COUNTIF('ВВС 1'!D2:D100000,"Частично")</f>
        <v/>
      </c>
      <c r="F4">
        <f>COUNTIF('ВВС 1'!D2:D100000,"Неверно")</f>
        <v/>
      </c>
      <c r="G4" s="13">
        <f>IFERROR(COUNTIF('ВВС 1'!D2:D100000,"Верно")/COUNTIF('ВВС 1'!D2:D100000,"&lt;&gt;"),"")</f>
        <v/>
      </c>
      <c r="H4" s="13">
        <f>IFERROR((COUNTIF('ВВС 1'!D2:D100000,"Верно")+0.5*COUNTIF('ВВС 1'!D2:D100000,"Частично"))/COUNTIF('ВВС 1'!D2:D100000,"&lt;&gt;"),"")</f>
        <v/>
      </c>
    </row>
    <row r="5">
      <c r="A5" t="inlineStr">
        <is>
          <t>ВВС 2</t>
        </is>
      </c>
      <c r="B5">
        <f>COUNTA('ВВС 2'!A2:A100000)</f>
        <v/>
      </c>
      <c r="C5">
        <f>COUNTIF('ВВС 2'!D2:D100000,"&lt;&gt;")</f>
        <v/>
      </c>
      <c r="D5">
        <f>COUNTIF('ВВС 2'!D2:D100000,"Верно")</f>
        <v/>
      </c>
      <c r="E5">
        <f>COUNTIF('ВВС 2'!D2:D100000,"Частично")</f>
        <v/>
      </c>
      <c r="F5">
        <f>COUNTIF('ВВС 2'!D2:D100000,"Неверно")</f>
        <v/>
      </c>
      <c r="G5" s="13">
        <f>IFERROR(COUNTIF('ВВС 2'!D2:D100000,"Верно")/COUNTIF('ВВС 2'!D2:D100000,"&lt;&gt;"),"")</f>
        <v/>
      </c>
      <c r="H5" s="13">
        <f>IFERROR((COUNTIF('ВВС 2'!D2:D100000,"Верно")+0.5*COUNTIF('ВВС 2'!D2:D100000,"Частично"))/COUNTIF('ВВС 2'!D2:D100000,"&lt;&gt;"),"")</f>
        <v/>
      </c>
    </row>
    <row r="6">
      <c r="A6" t="inlineStr">
        <is>
          <t>ВВС 4</t>
        </is>
      </c>
      <c r="B6">
        <f>COUNTA('ВВС 4'!A2:A100000)</f>
        <v/>
      </c>
      <c r="C6">
        <f>COUNTIF('ВВС 4'!D2:D100000,"&lt;&gt;")</f>
        <v/>
      </c>
      <c r="D6">
        <f>COUNTIF('ВВС 4'!D2:D100000,"Верно")</f>
        <v/>
      </c>
      <c r="E6">
        <f>COUNTIF('ВВС 4'!D2:D100000,"Частично")</f>
        <v/>
      </c>
      <c r="F6">
        <f>COUNTIF('ВВС 4'!D2:D100000,"Неверно")</f>
        <v/>
      </c>
      <c r="G6" s="13">
        <f>IFERROR(COUNTIF('ВВС 4'!D2:D100000,"Верно")/COUNTIF('ВВС 4'!D2:D100000,"&lt;&gt;"),"")</f>
        <v/>
      </c>
      <c r="H6" s="13">
        <f>IFERROR((COUNTIF('ВВС 4'!D2:D100000,"Верно")+0.5*COUNTIF('ВВС 4'!D2:D100000,"Частично"))/COUNTIF('ВВС 4'!D2:D100000,"&lt;&gt;"),"")</f>
        <v/>
      </c>
    </row>
    <row r="7">
      <c r="A7" t="inlineStr">
        <is>
          <t>ВВС 5</t>
        </is>
      </c>
      <c r="B7">
        <f>COUNTA('ВВС 5'!A2:A100000)</f>
        <v/>
      </c>
      <c r="C7">
        <f>COUNTIF('ВВС 5'!D2:D100000,"&lt;&gt;")</f>
        <v/>
      </c>
      <c r="D7">
        <f>COUNTIF('ВВС 5'!D2:D100000,"Верно")</f>
        <v/>
      </c>
      <c r="E7">
        <f>COUNTIF('ВВС 5'!D2:D100000,"Частично")</f>
        <v/>
      </c>
      <c r="F7">
        <f>COUNTIF('ВВС 5'!D2:D100000,"Неверно")</f>
        <v/>
      </c>
      <c r="G7" s="13">
        <f>IFERROR(COUNTIF('ВВС 5'!D2:D100000,"Верно")/COUNTIF('ВВС 5'!D2:D100000,"&lt;&gt;"),"")</f>
        <v/>
      </c>
      <c r="H7" s="13">
        <f>IFERROR((COUNTIF('ВВС 5'!D2:D100000,"Верно")+0.5*COUNTIF('ВВС 5'!D2:D100000,"Частично"))/COUNTIF('ВВС 5'!D2:D100000,"&lt;&gt;"),"")</f>
        <v/>
      </c>
    </row>
    <row r="8">
      <c r="A8" t="inlineStr">
        <is>
          <t>ВВС 7</t>
        </is>
      </c>
      <c r="B8">
        <f>COUNTA('ВВС 7'!A2:A100000)</f>
        <v/>
      </c>
      <c r="C8">
        <f>COUNTIF('ВВС 7'!D2:D100000,"&lt;&gt;")</f>
        <v/>
      </c>
      <c r="D8">
        <f>COUNTIF('ВВС 7'!D2:D100000,"Верно")</f>
        <v/>
      </c>
      <c r="E8">
        <f>COUNTIF('ВВС 7'!D2:D100000,"Частично")</f>
        <v/>
      </c>
      <c r="F8">
        <f>COUNTIF('ВВС 7'!D2:D100000,"Неверно")</f>
        <v/>
      </c>
      <c r="G8" s="13">
        <f>IFERROR(COUNTIF('ВВС 7'!D2:D100000,"Верно")/COUNTIF('ВВС 7'!D2:D100000,"&lt;&gt;"),"")</f>
        <v/>
      </c>
      <c r="H8" s="13">
        <f>IFERROR((COUNTIF('ВВС 7'!D2:D100000,"Верно")+0.5*COUNTIF('ВВС 7'!D2:D100000,"Частично"))/COUNTIF('ВВС 7'!D2:D100000,"&lt;&gt;"),"")</f>
        <v/>
      </c>
    </row>
    <row r="9">
      <c r="A9" t="inlineStr">
        <is>
          <t>ВВС 9</t>
        </is>
      </c>
      <c r="B9">
        <f>COUNTA('ВВС 9'!A2:A100000)</f>
        <v/>
      </c>
      <c r="C9">
        <f>COUNTIF('ВВС 9'!D2:D100000,"&lt;&gt;")</f>
        <v/>
      </c>
      <c r="D9">
        <f>COUNTIF('ВВС 9'!D2:D100000,"Верно")</f>
        <v/>
      </c>
      <c r="E9">
        <f>COUNTIF('ВВС 9'!D2:D100000,"Частично")</f>
        <v/>
      </c>
      <c r="F9">
        <f>COUNTIF('ВВС 9'!D2:D100000,"Неверно")</f>
        <v/>
      </c>
      <c r="G9" s="13">
        <f>IFERROR(COUNTIF('ВВС 9'!D2:D100000,"Верно")/COUNTIF('ВВС 9'!D2:D100000,"&lt;&gt;"),"")</f>
        <v/>
      </c>
      <c r="H9" s="13">
        <f>IFERROR((COUNTIF('ВВС 9'!D2:D100000,"Верно")+0.5*COUNTIF('ВВС 9'!D2:D100000,"Частично"))/COUNTIF('ВВС 9'!D2:D100000,"&lt;&gt;"),"")</f>
        <v/>
      </c>
    </row>
    <row r="10">
      <c r="A10" t="inlineStr">
        <is>
          <t>ВВС 10</t>
        </is>
      </c>
      <c r="B10">
        <f>COUNTA('ВВС 10'!A2:A100000)</f>
        <v/>
      </c>
      <c r="C10">
        <f>COUNTIF('ВВС 10'!D2:D100000,"&lt;&gt;")</f>
        <v/>
      </c>
      <c r="D10">
        <f>COUNTIF('ВВС 10'!D2:D100000,"Верно")</f>
        <v/>
      </c>
      <c r="E10">
        <f>COUNTIF('ВВС 10'!D2:D100000,"Частично")</f>
        <v/>
      </c>
      <c r="F10">
        <f>COUNTIF('ВВС 10'!D2:D100000,"Неверно")</f>
        <v/>
      </c>
      <c r="G10" s="13">
        <f>IFERROR(COUNTIF('ВВС 10'!D2:D100000,"Верно")/COUNTIF('ВВС 10'!D2:D100000,"&lt;&gt;"),"")</f>
        <v/>
      </c>
      <c r="H10" s="13">
        <f>IFERROR((COUNTIF('ВВС 10'!D2:D100000,"Верно")+0.5*COUNTIF('ВВС 10'!D2:D100000,"Частично"))/COUNTIF('ВВС 10'!D2:D100000,"&lt;&gt;"),"")</f>
        <v/>
      </c>
    </row>
    <row r="11">
      <c r="A11" s="12" t="inlineStr">
        <is>
          <t>ВСЕГО</t>
        </is>
      </c>
      <c r="B11" s="12">
        <f>SUM(B4:B10)</f>
        <v/>
      </c>
      <c r="C11" s="12">
        <f>SUM(C4:C10)</f>
        <v/>
      </c>
      <c r="D11" s="12">
        <f>SUM(D4:D10)</f>
        <v/>
      </c>
      <c r="E11" s="12">
        <f>SUM(E4:E10)</f>
        <v/>
      </c>
      <c r="F11" s="12">
        <f>SUM(F4:F10)</f>
        <v/>
      </c>
      <c r="G11" s="14">
        <f>IFERROR(D11/C11,"")</f>
        <v/>
      </c>
      <c r="H11" s="14">
        <f>IFERROR((D11+0.5*E11)/C11,"")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2026-05-27T15:43:50Z</dcterms:created>
  <dcterms:modified xsi:type="dcterms:W3CDTF">2026-05-27T15:43:50Z</dcterms:modified>
</cp:coreProperties>
</file>